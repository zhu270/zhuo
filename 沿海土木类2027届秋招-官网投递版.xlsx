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官网可投递" sheetId="2" state="visible" r:id="rId4"/>
    <sheet name="官网入口·27届待发布" sheetId="3" state="visible" r:id="rId5"/>
    <sheet name="集团总入口" sheetId="4" state="visible" r:id="rId6"/>
  </sheets>
  <definedNames>
    <definedName function="false" hidden="false" localSheetId="2" name="_xlnm.Print_Titles" vbProcedure="false">官网入口·27届待发布!$3:$3</definedName>
    <definedName function="false" hidden="true" localSheetId="2" name="_xlnm._FilterDatabase" vbProcedure="false">官网入口·27届待发布!$A$3:$H$19</definedName>
    <definedName function="false" hidden="false" localSheetId="1" name="_xlnm.Print_Titles" vbProcedure="false">官网可投递!$3:$3</definedName>
    <definedName function="false" hidden="true" localSheetId="1" name="_xlnm._FilterDatabase" vbProcedure="false">官网可投递!$A$3:$P$58</definedName>
    <definedName function="false" hidden="false" localSheetId="0" name="_xlnm.Print_Titles" vbProcedure="false">说明!$1:$1</definedName>
    <definedName function="false" hidden="false" localSheetId="3" name="_xlnm.Print_Titles" vbProcedure="false">集团总入口!$3:$3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<sst xmlns="http://schemas.openxmlformats.org/spreadsheetml/2006/main" count="879" uniqueCount="477">
  <si>
    <r>
      <rPr>
        <b val="true"/>
        <sz val="14"/>
        <color rgb="FF1F4E78"/>
        <rFont val="WenQuanYi Zen Hei"/>
        <family val="2"/>
      </rPr>
      <t xml:space="preserve">沿海地区土木类 </t>
    </r>
    <r>
      <rPr>
        <b val="true"/>
        <sz val="14"/>
        <color rgb="FF1F4E78"/>
        <rFont val="Arial"/>
        <family val="0"/>
        <charset val="1"/>
      </rPr>
      <t xml:space="preserve">2027</t>
    </r>
    <r>
      <rPr>
        <b val="true"/>
        <sz val="14"/>
        <color rgb="FF1F4E78"/>
        <rFont val="WenQuanYi Zen Hei"/>
        <family val="2"/>
      </rPr>
      <t xml:space="preserve">届秋招 —— 官网投递版 说明</t>
    </r>
  </si>
  <si>
    <t xml:space="preserve">求职者</t>
  </si>
  <si>
    <r>
      <rPr>
        <sz val="10"/>
        <rFont val="WenQuanYi Zen Hei"/>
        <family val="2"/>
      </rPr>
      <t xml:space="preserve">王卓｜华侨大学 土木工程（结构工程）学术型硕士｜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届｜方向：桥梁钢结构腐蚀与损伤检测</t>
    </r>
  </si>
  <si>
    <t xml:space="preserve">本表口径</t>
  </si>
  <si>
    <t xml:space="preserve">只收官网与官方网申系统链接；第三方转载站（牛企直聘、国企招聘网等）一律不作为投递入口。</t>
  </si>
  <si>
    <t xml:space="preserve">检索日期</t>
  </si>
  <si>
    <t xml:space="preserve">2026-10-21</t>
  </si>
  <si>
    <t xml:space="preserve">局限</t>
  </si>
  <si>
    <t xml:space="preserve">运行环境无法直接打开国内网站，链接是通过“只检索官网域名”的搜索确认的，页面内容来自搜索引擎对官网的抓取。大部分页面没写截止日期，打开链接后以系统内显示为准。</t>
  </si>
  <si>
    <t xml:space="preserve">统计项（自动计算）</t>
  </si>
  <si>
    <t xml:space="preserve">数量</t>
  </si>
  <si>
    <t xml:space="preserve">说明</t>
  </si>
  <si>
    <t xml:space="preserve">官网可投递单位数</t>
  </si>
  <si>
    <t xml:space="preserve">“官网可投递”工作表</t>
  </si>
  <si>
    <r>
      <rPr>
        <sz val="10"/>
        <rFont val="WenQuanYi Zen Hei"/>
        <family val="2"/>
      </rPr>
      <t xml:space="preserve">其中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：官网已见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</t>
    </r>
  </si>
  <si>
    <t xml:space="preserve">可直接打开投递</t>
  </si>
  <si>
    <r>
      <rPr>
        <sz val="10"/>
        <rFont val="WenQuanYi Zen Hei"/>
        <family val="2"/>
      </rPr>
      <t xml:space="preserve">其中 </t>
    </r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：官方网申入口</t>
    </r>
  </si>
  <si>
    <r>
      <rPr>
        <sz val="10"/>
        <rFont val="WenQuanYi Zen Hei"/>
        <family val="2"/>
      </rPr>
      <t xml:space="preserve">进入系统后查看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届岗位</t>
    </r>
  </si>
  <si>
    <t xml:space="preserve">其中 匹配度★★★</t>
  </si>
  <si>
    <t xml:space="preserve">优先投递</t>
  </si>
  <si>
    <t xml:space="preserve">官网待发布单位数</t>
  </si>
  <si>
    <t xml:space="preserve">定期查看</t>
  </si>
  <si>
    <t xml:space="preserve">建议先投的单位（★★★ 且可直接投）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</si>
  <si>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厦门路桥建设集团：官网校招页有“科研岗（厦门市政交通规划设计院，研究生，土木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交通方向）”，下载应聘登记表发 </t>
    </r>
    <r>
      <rPr>
        <sz val="10"/>
        <rFont val="Arial"/>
        <family val="0"/>
        <charset val="1"/>
      </rPr>
      <t xml:space="preserve">lw818@xmlq.com.cn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</si>
  <si>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中建科工：官方招聘站 </t>
    </r>
    <r>
      <rPr>
        <sz val="10"/>
        <rFont val="Arial"/>
        <family val="0"/>
        <charset val="1"/>
      </rPr>
      <t xml:space="preserve">zjggzp.zhiye.com</t>
    </r>
    <r>
      <rPr>
        <sz val="10"/>
        <rFont val="WenQuanYi Zen Hei"/>
        <family val="2"/>
      </rPr>
      <t xml:space="preserve">，钢结构首选；中建系需先完成中建统一测评。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</si>
  <si>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浙江交投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届公告：公告内有数智交院（桥梁设计）、浙江交工的投递链接。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</si>
  <si>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WenQuanYi Zen Hei"/>
        <family val="2"/>
      </rPr>
      <t xml:space="preserve">广州市城市规划勘测设计研究院：有面向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届研究生的土木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结构岗位。</t>
    </r>
  </si>
  <si>
    <r>
      <rPr>
        <sz val="10"/>
        <rFont val="Arial"/>
        <family val="0"/>
        <charset val="1"/>
      </rPr>
      <t xml:space="preserve">5. </t>
    </r>
    <r>
      <rPr>
        <sz val="10"/>
        <rFont val="WenQuanYi Zen Hei"/>
        <family val="2"/>
      </rPr>
      <t xml:space="preserve">广东省建筑设计研究院：北森系统每人限投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个，建议投结构设计。</t>
    </r>
  </si>
  <si>
    <r>
      <rPr>
        <sz val="10"/>
        <rFont val="Arial"/>
        <family val="0"/>
        <charset val="1"/>
      </rPr>
      <t xml:space="preserve">6. </t>
    </r>
    <r>
      <rPr>
        <sz val="10"/>
        <rFont val="WenQuanYi Zen Hei"/>
        <family val="2"/>
      </rPr>
      <t xml:space="preserve">精工钢构、杭萧钢构：官网校招页可直接投，钢结构技术岗对口。</t>
    </r>
  </si>
  <si>
    <r>
      <rPr>
        <sz val="10"/>
        <rFont val="Arial"/>
        <family val="0"/>
        <charset val="1"/>
      </rPr>
      <t xml:space="preserve">7. </t>
    </r>
    <r>
      <rPr>
        <sz val="10"/>
        <rFont val="WenQuanYi Zen Hei"/>
        <family val="2"/>
      </rPr>
      <t xml:space="preserve">检测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腐蚀方向：福建省建科院（检测工程师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厦门）、建发合诚、中冶建研院、中国钢研（含青岛海洋腐蚀研究所）、中交四航工程研究院（要求六级）。</t>
    </r>
  </si>
  <si>
    <r>
      <rPr>
        <sz val="10"/>
        <rFont val="Arial"/>
        <family val="0"/>
        <charset val="1"/>
      </rPr>
      <t xml:space="preserve">8. </t>
    </r>
    <r>
      <rPr>
        <sz val="10"/>
        <rFont val="WenQuanYi Zen Hei"/>
        <family val="2"/>
      </rPr>
      <t xml:space="preserve">深圳市建筑设计研究总院：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届结构设计实习生，可以实习争取留用。</t>
    </r>
  </si>
  <si>
    <r>
      <rPr>
        <b val="true"/>
        <sz val="14"/>
        <color rgb="FF1F4E78"/>
        <rFont val="WenQuanYi Zen Hei"/>
        <family val="2"/>
      </rPr>
      <t xml:space="preserve">沿海地区土木类 </t>
    </r>
    <r>
      <rPr>
        <b val="true"/>
        <sz val="14"/>
        <color rgb="FF1F4E78"/>
        <rFont val="Arial"/>
        <family val="0"/>
        <charset val="1"/>
      </rPr>
      <t xml:space="preserve">2027</t>
    </r>
    <r>
      <rPr>
        <b val="true"/>
        <sz val="14"/>
        <color rgb="FF1F4E78"/>
        <rFont val="WenQuanYi Zen Hei"/>
        <family val="2"/>
      </rPr>
      <t xml:space="preserve">届秋招 —— 官网 </t>
    </r>
    <r>
      <rPr>
        <b val="true"/>
        <sz val="14"/>
        <color rgb="FF1F4E78"/>
        <rFont val="Arial"/>
        <family val="0"/>
        <charset val="1"/>
      </rPr>
      <t xml:space="preserve">/ </t>
    </r>
    <r>
      <rPr>
        <b val="true"/>
        <sz val="14"/>
        <color rgb="FF1F4E78"/>
        <rFont val="WenQuanYi Zen Hei"/>
        <family val="2"/>
      </rPr>
      <t xml:space="preserve">官方网申入口（已核实）</t>
    </r>
  </si>
  <si>
    <r>
      <rPr>
        <i val="true"/>
        <sz val="9"/>
        <color rgb="FF595959"/>
        <rFont val="WenQuanYi Zen Hei"/>
        <family val="2"/>
      </rPr>
      <t xml:space="preserve">本表只收录企业官网、企业官方网申系统（北森 </t>
    </r>
    <r>
      <rPr>
        <i val="true"/>
        <sz val="9"/>
        <color rgb="FF595959"/>
        <rFont val="Arial"/>
        <family val="0"/>
        <charset val="1"/>
      </rPr>
      <t xml:space="preserve">zhiye.com</t>
    </r>
    <r>
      <rPr>
        <i val="true"/>
        <sz val="9"/>
        <color rgb="FF595959"/>
        <rFont val="WenQuanYi Zen Hei"/>
        <family val="2"/>
      </rPr>
      <t xml:space="preserve">、国聘 </t>
    </r>
    <r>
      <rPr>
        <i val="true"/>
        <sz val="9"/>
        <color rgb="FF595959"/>
        <rFont val="Arial"/>
        <family val="0"/>
        <charset val="1"/>
      </rPr>
      <t xml:space="preserve">iguopin.com</t>
    </r>
    <r>
      <rPr>
        <i val="true"/>
        <sz val="9"/>
        <color rgb="FF595959"/>
        <rFont val="WenQuanYi Zen Hei"/>
        <family val="2"/>
      </rPr>
      <t xml:space="preserve">、</t>
    </r>
    <r>
      <rPr>
        <i val="true"/>
        <sz val="9"/>
        <color rgb="FF595959"/>
        <rFont val="Arial"/>
        <family val="0"/>
        <charset val="1"/>
      </rPr>
      <t xml:space="preserve">Moka</t>
    </r>
    <r>
      <rPr>
        <i val="true"/>
        <sz val="9"/>
        <color rgb="FF595959"/>
        <rFont val="WenQuanYi Zen Hei"/>
        <family val="2"/>
      </rPr>
      <t xml:space="preserve">、</t>
    </r>
    <r>
      <rPr>
        <i val="true"/>
        <sz val="9"/>
        <color rgb="FF595959"/>
        <rFont val="Arial"/>
        <family val="0"/>
        <charset val="1"/>
      </rPr>
      <t xml:space="preserve">hotjob</t>
    </r>
    <r>
      <rPr>
        <i val="true"/>
        <sz val="9"/>
        <color rgb="FF595959"/>
        <rFont val="WenQuanYi Zen Hei"/>
        <family val="2"/>
      </rPr>
      <t xml:space="preserve">、智联企业校招站）和教育部国家大学生就业服务平台（</t>
    </r>
    <r>
      <rPr>
        <i val="true"/>
        <sz val="9"/>
        <color rgb="FF595959"/>
        <rFont val="Arial"/>
        <family val="0"/>
        <charset val="1"/>
      </rPr>
      <t xml:space="preserve">ncss.cn</t>
    </r>
    <r>
      <rPr>
        <i val="true"/>
        <sz val="9"/>
        <color rgb="FF595959"/>
        <rFont val="WenQuanYi Zen Hei"/>
        <family val="2"/>
      </rPr>
      <t xml:space="preserve">）上的链接，检索日期 </t>
    </r>
    <r>
      <rPr>
        <i val="true"/>
        <sz val="9"/>
        <color rgb="FF595959"/>
        <rFont val="Arial"/>
        <family val="0"/>
        <charset val="1"/>
      </rPr>
      <t xml:space="preserve">2026-10-21</t>
    </r>
    <r>
      <rPr>
        <i val="true"/>
        <sz val="9"/>
        <color rgb="FF595959"/>
        <rFont val="WenQuanYi Zen Hei"/>
        <family val="2"/>
      </rPr>
      <t xml:space="preserve">。</t>
    </r>
    <r>
      <rPr>
        <i val="true"/>
        <sz val="9"/>
        <color rgb="FF595959"/>
        <rFont val="Arial"/>
        <family val="0"/>
        <charset val="1"/>
      </rPr>
      <t xml:space="preserve">A</t>
    </r>
    <r>
      <rPr>
        <i val="true"/>
        <sz val="9"/>
        <color rgb="FF595959"/>
        <rFont val="WenQuanYi Zen Hei"/>
        <family val="2"/>
      </rPr>
      <t xml:space="preserve">＝官网页面已显示</t>
    </r>
    <r>
      <rPr>
        <i val="true"/>
        <sz val="9"/>
        <color rgb="FF595959"/>
        <rFont val="Arial"/>
        <family val="0"/>
        <charset val="1"/>
      </rPr>
      <t xml:space="preserve">2027</t>
    </r>
    <r>
      <rPr>
        <i val="true"/>
        <sz val="9"/>
        <color rgb="FF595959"/>
        <rFont val="WenQuanYi Zen Hei"/>
        <family val="2"/>
      </rPr>
      <t xml:space="preserve">届公告或岗位；</t>
    </r>
    <r>
      <rPr>
        <i val="true"/>
        <sz val="9"/>
        <color rgb="FF595959"/>
        <rFont val="Arial"/>
        <family val="0"/>
        <charset val="1"/>
      </rPr>
      <t xml:space="preserve">B</t>
    </r>
    <r>
      <rPr>
        <i val="true"/>
        <sz val="9"/>
        <color rgb="FF595959"/>
        <rFont val="WenQuanYi Zen Hei"/>
        <family val="2"/>
      </rPr>
      <t xml:space="preserve">＝已找到官方网申系统或校招栏目，</t>
    </r>
    <r>
      <rPr>
        <i val="true"/>
        <sz val="9"/>
        <color rgb="FF595959"/>
        <rFont val="Arial"/>
        <family val="0"/>
        <charset val="1"/>
      </rPr>
      <t xml:space="preserve">2027</t>
    </r>
    <r>
      <rPr>
        <i val="true"/>
        <sz val="9"/>
        <color rgb="FF595959"/>
        <rFont val="WenQuanYi Zen Hei"/>
        <family val="2"/>
      </rPr>
      <t xml:space="preserve">届岗位需进入系统查看。截止日期只填官网页面写明的，其余以系统内为准。</t>
    </r>
  </si>
  <si>
    <t xml:space="preserve">序号</t>
  </si>
  <si>
    <t xml:space="preserve">核实级别</t>
  </si>
  <si>
    <t xml:space="preserve">省份</t>
  </si>
  <si>
    <r>
      <rPr>
        <b val="true"/>
        <sz val="10"/>
        <color rgb="FFFFFFFF"/>
        <rFont val="WenQuanYi Zen Hei"/>
        <family val="2"/>
      </rPr>
      <t xml:space="preserve">城市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工作地</t>
    </r>
  </si>
  <si>
    <t xml:space="preserve">单位</t>
  </si>
  <si>
    <t xml:space="preserve">所属集团</t>
  </si>
  <si>
    <t xml:space="preserve">性质</t>
  </si>
  <si>
    <r>
      <rPr>
        <b val="true"/>
        <sz val="10"/>
        <color rgb="FFFFFFFF"/>
        <rFont val="WenQuanYi Zen Hei"/>
        <family val="2"/>
      </rPr>
      <t xml:space="preserve">官方投递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网申链接（可点击）</t>
    </r>
  </si>
  <si>
    <r>
      <rPr>
        <b val="true"/>
        <sz val="10"/>
        <color rgb="FFFFFFFF"/>
        <rFont val="WenQuanYi Zen Hei"/>
        <family val="2"/>
      </rPr>
      <t xml:space="preserve">官方公告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补充链接</t>
    </r>
  </si>
  <si>
    <t xml:space="preserve">官网页面显示的内容</t>
  </si>
  <si>
    <t xml:space="preserve">投递方式</t>
  </si>
  <si>
    <t xml:space="preserve">截止日期</t>
  </si>
  <si>
    <t xml:space="preserve">状态</t>
  </si>
  <si>
    <t xml:space="preserve">距截止</t>
  </si>
  <si>
    <t xml:space="preserve">与简历匹配度</t>
  </si>
  <si>
    <t xml:space="preserve">建议</t>
  </si>
  <si>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官方网申入口</t>
    </r>
  </si>
  <si>
    <t xml:space="preserve">福建</t>
  </si>
  <si>
    <t xml:space="preserve">厦门</t>
  </si>
  <si>
    <t xml:space="preserve">厦门路桥建设集团（官网校园招聘栏目）</t>
  </si>
  <si>
    <t xml:space="preserve">厦门市国资委</t>
  </si>
  <si>
    <t xml:space="preserve">地方国企</t>
  </si>
  <si>
    <t xml:space="preserve">https://www.xmlq.com.cn/Recruit/campus/1</t>
  </si>
  <si>
    <r>
      <rPr>
        <sz val="10"/>
        <rFont val="WenQuanYi Zen Hei"/>
        <family val="2"/>
      </rPr>
      <t xml:space="preserve">校园招聘在招：科研岗（厦门市政交通规划设计院，研究生，土木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交通工程方向）、工程管理岗（路桥建设集团工程公司，厦门或省外）、造价管理岗、智慧交通解决方案工程师等</t>
    </r>
  </si>
  <si>
    <r>
      <rPr>
        <sz val="10"/>
        <rFont val="WenQuanYi Zen Hei"/>
        <family val="2"/>
      </rPr>
      <t xml:space="preserve">下载官网“应聘登记表”，填写后发邮件至 </t>
    </r>
    <r>
      <rPr>
        <sz val="10"/>
        <rFont val="Arial"/>
        <family val="0"/>
        <charset val="1"/>
      </rPr>
      <t xml:space="preserve">lw818@xmlq.com.cn</t>
    </r>
    <r>
      <rPr>
        <sz val="10"/>
        <rFont val="WenQuanYi Zen Hei"/>
        <family val="2"/>
      </rPr>
      <t xml:space="preserve">，备注应聘岗位</t>
    </r>
  </si>
  <si>
    <t xml:space="preserve">以官网为准</t>
  </si>
  <si>
    <t xml:space="preserve">★★★</t>
  </si>
  <si>
    <t xml:space="preserve">厦门桥梁建设管养主体；科研岗要研究生、土木方向，和你最对口，建议尽快邮件投递（届别以页面为准）</t>
  </si>
  <si>
    <t xml:space="preserve">建发合诚工程咨询股份有限公司</t>
  </si>
  <si>
    <t xml:space="preserve">建发集团（上市）</t>
  </si>
  <si>
    <t xml:space="preserve">国企控股</t>
  </si>
  <si>
    <t xml:space="preserve">https://holsin.zhiye.com/</t>
  </si>
  <si>
    <t xml:space="preserve">官方招聘系统（往年校招有城市更新岗、水利工程师等）</t>
  </si>
  <si>
    <t xml:space="preserve">北森网申</t>
  </si>
  <si>
    <t xml:space="preserve">厦门本地交通设计、检测、监理上市公司，与桥梁检测方向对口</t>
  </si>
  <si>
    <r>
      <rPr>
        <sz val="10"/>
        <rFont val="WenQuanYi Zen Hei"/>
        <family val="2"/>
      </rPr>
      <t xml:space="preserve">福州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厦门</t>
    </r>
  </si>
  <si>
    <t xml:space="preserve">福建省建筑科学研究院</t>
  </si>
  <si>
    <t xml:space="preserve">福建省建设投资集团</t>
  </si>
  <si>
    <t xml:space="preserve">https://fjjky.zhiye.com/</t>
  </si>
  <si>
    <t xml:space="preserve">http://www.fjjky.com/</t>
  </si>
  <si>
    <r>
      <rPr>
        <sz val="10"/>
        <rFont val="WenQuanYi Zen Hei"/>
        <family val="2"/>
      </rPr>
      <t xml:space="preserve">官方招聘系统在招：检测工程师（厦门）</t>
    </r>
    <r>
      <rPr>
        <sz val="10"/>
        <rFont val="Arial"/>
        <family val="0"/>
        <charset val="1"/>
      </rPr>
      <t xml:space="preserve">J10535</t>
    </r>
    <r>
      <rPr>
        <sz val="10"/>
        <rFont val="WenQuanYi Zen Hei"/>
        <family val="2"/>
      </rPr>
      <t xml:space="preserve">、岩土工程师（福州）</t>
    </r>
    <r>
      <rPr>
        <sz val="10"/>
        <rFont val="Arial"/>
        <family val="0"/>
        <charset val="1"/>
      </rPr>
      <t xml:space="preserve">J10532</t>
    </r>
    <r>
      <rPr>
        <sz val="10"/>
        <rFont val="WenQuanYi Zen Hei"/>
        <family val="2"/>
      </rPr>
      <t xml:space="preserve">（页面标注社招，应届可询问）</t>
    </r>
  </si>
  <si>
    <t xml:space="preserve">检测鉴定对口；可直接投检测工程师（厦门）</t>
  </si>
  <si>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官网已见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</t>
    </r>
  </si>
  <si>
    <r>
      <rPr>
        <sz val="10"/>
        <rFont val="WenQuanYi Zen Hei"/>
        <family val="2"/>
      </rPr>
      <t xml:space="preserve">厦门轨道建设发展集团（集团管培生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运营公司校招）</t>
    </r>
  </si>
  <si>
    <t xml:space="preserve">https://xmgdjt.zhiye.com/campus/jobs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</si>
  <si>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届校招；运营公司工务方向负责地铁轨道、隧道、桥梁等结构的检修与管理，需求专业：轨道、结构、土木、桥隧；本科及以上，</t>
    </r>
    <r>
      <rPr>
        <sz val="10"/>
        <rFont val="Arial"/>
        <family val="0"/>
        <charset val="1"/>
      </rPr>
      <t xml:space="preserve">2027-07-31</t>
    </r>
    <r>
      <rPr>
        <sz val="10"/>
        <rFont val="WenQuanYi Zen Hei"/>
        <family val="2"/>
      </rPr>
      <t xml:space="preserve">前取得毕业证、学位证；需接受倒班</t>
    </r>
  </si>
  <si>
    <t xml:space="preserve">★★</t>
  </si>
  <si>
    <r>
      <rPr>
        <sz val="10"/>
        <rFont val="WenQuanYi Zen Hei"/>
        <family val="2"/>
      </rPr>
      <t xml:space="preserve">桥梁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隧道结构检修与你的损伤检测方向接近，厦门本地，推荐</t>
    </r>
  </si>
  <si>
    <r>
      <rPr>
        <sz val="10"/>
        <rFont val="WenQuanYi Zen Hei"/>
        <family val="2"/>
      </rPr>
      <t xml:space="preserve">厦门国企招聘系统（同翔公司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市政工程岗，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届，</t>
    </r>
    <r>
      <rPr>
        <sz val="10"/>
        <rFont val="Arial"/>
        <family val="0"/>
        <charset val="1"/>
      </rPr>
      <t xml:space="preserve">J10580</t>
    </r>
    <r>
      <rPr>
        <sz val="10"/>
        <rFont val="WenQuanYi Zen Hei"/>
        <family val="2"/>
      </rPr>
      <t xml:space="preserve">）</t>
    </r>
  </si>
  <si>
    <t xml:space="preserve">厦门市属国企（以页面为准）</t>
  </si>
  <si>
    <t xml:space="preserve">https://xmhjjt.zhiye.com/intern/jobs</t>
  </si>
  <si>
    <r>
      <rPr>
        <sz val="10"/>
        <rFont val="WenQuanYi Zen Hei"/>
        <family val="2"/>
      </rPr>
      <t xml:space="preserve">同翔公司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市政工程岗（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届），</t>
    </r>
    <r>
      <rPr>
        <sz val="10"/>
        <rFont val="Arial"/>
        <family val="0"/>
        <charset val="1"/>
      </rPr>
      <t xml:space="preserve">2026-09-18</t>
    </r>
    <r>
      <rPr>
        <sz val="10"/>
        <rFont val="WenQuanYi Zen Hei"/>
        <family val="2"/>
      </rPr>
      <t xml:space="preserve">发布，厦门；监督评估市政工程进度质量；接受土木工程、给排水、交通工程、智能建造、园林、工程管理等，本科及以上</t>
    </r>
  </si>
  <si>
    <t xml:space="preserve">厦门本地市政建设岗，可作稳妥选择</t>
  </si>
  <si>
    <t xml:space="preserve">莆田（全国）</t>
  </si>
  <si>
    <r>
      <rPr>
        <sz val="10"/>
        <rFont val="WenQuanYi Zen Hei"/>
        <family val="2"/>
      </rPr>
      <t xml:space="preserve">三棵树涂料股份有限公司（“森计划”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届校招）</t>
    </r>
  </si>
  <si>
    <t xml:space="preserve">民营上市</t>
  </si>
  <si>
    <t xml:space="preserve">民企</t>
  </si>
  <si>
    <t xml:space="preserve">https://3treesgroup.zhaopin.com/jobs1/index.html?iten=two</t>
  </si>
  <si>
    <r>
      <rPr>
        <sz val="10"/>
        <rFont val="WenQuanYi Zen Hei"/>
        <family val="2"/>
      </rPr>
      <t xml:space="preserve">三棵树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届校园招聘官方站；“森计划”面向本硕博，导师带教、轮岗</t>
    </r>
  </si>
  <si>
    <t xml:space="preserve">官方校招站网申</t>
  </si>
  <si>
    <r>
      <rPr>
        <sz val="10"/>
        <rFont val="WenQuanYi Zen Hei"/>
        <family val="2"/>
      </rPr>
      <t xml:space="preserve">涂料企业，与涂层腐蚀课题相关，可投研发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技术服务岗</t>
    </r>
  </si>
  <si>
    <t xml:space="preserve">厦门（全国）</t>
  </si>
  <si>
    <t xml:space="preserve">厦门建发集团（含建发房产、联发集团、建发合诚等）</t>
  </si>
  <si>
    <t xml:space="preserve">https://chinacdc.zhiye.com/subzw?k=</t>
  </si>
  <si>
    <t xml:space="preserve">https://www.chinacdc.com/join</t>
  </si>
  <si>
    <r>
      <rPr>
        <sz val="10"/>
        <rFont val="WenQuanYi Zen Hei"/>
        <family val="2"/>
      </rPr>
      <t xml:space="preserve">集团招聘站已发布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届校招岗位（目前多为建发健康等）；城市建设板块代建业务涉及房建、路桥、市政</t>
    </r>
  </si>
  <si>
    <t xml:space="preserve">持续关注建发房产、联发集团、城市建设板块的土建岗</t>
  </si>
  <si>
    <t xml:space="preserve">福州</t>
  </si>
  <si>
    <t xml:space="preserve">中国电建集团福建省电力勘测设计院</t>
  </si>
  <si>
    <t xml:space="preserve">中国电建</t>
  </si>
  <si>
    <t xml:space="preserve">央企</t>
  </si>
  <si>
    <t xml:space="preserve">https://fedi.zhiye.com/</t>
  </si>
  <si>
    <r>
      <rPr>
        <sz val="10"/>
        <rFont val="WenQuanYi Zen Hei"/>
        <family val="2"/>
      </rPr>
      <t xml:space="preserve">官方招聘系统，设校园招聘入口（往年招土建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建筑设计、造价等）</t>
    </r>
  </si>
  <si>
    <t xml:space="preserve">福州本地设计院</t>
  </si>
  <si>
    <t xml:space="preserve">中建海峡建设发展有限公司</t>
  </si>
  <si>
    <t xml:space="preserve">中国建筑</t>
  </si>
  <si>
    <t xml:space="preserve">https://cscec.iguopin.com/job-campus</t>
  </si>
  <si>
    <t xml:space="preserve">https://scdc.cscec.com/</t>
  </si>
  <si>
    <r>
      <rPr>
        <sz val="10"/>
        <rFont val="WenQuanYi Zen Hei"/>
        <family val="2"/>
      </rPr>
      <t xml:space="preserve">官网设“企业招聘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校园招聘”栏目；中建各单位校招统一在中国建筑人才招聘平台投递</t>
    </r>
  </si>
  <si>
    <t xml:space="preserve">中国建筑人才招聘平台网申（需中建统一测评）</t>
  </si>
  <si>
    <t xml:space="preserve">福建本地中建主力，在平台内筛选“中建海峡”</t>
  </si>
  <si>
    <t xml:space="preserve">福州港务集团（福建省港口集团）</t>
  </si>
  <si>
    <t xml:space="preserve">福建省港口集团</t>
  </si>
  <si>
    <t xml:space="preserve">https://fzport2.zhiye.com/jobs</t>
  </si>
  <si>
    <r>
      <rPr>
        <sz val="10"/>
        <rFont val="WenQuanYi Zen Hei"/>
        <family val="2"/>
      </rPr>
      <t xml:space="preserve">共</t>
    </r>
    <r>
      <rPr>
        <sz val="10"/>
        <rFont val="Arial"/>
        <family val="0"/>
        <charset val="1"/>
      </rPr>
      <t xml:space="preserve">14</t>
    </r>
    <r>
      <rPr>
        <sz val="10"/>
        <rFont val="WenQuanYi Zen Hei"/>
        <family val="2"/>
      </rPr>
      <t xml:space="preserve">个职位，多个校招岗位截止 </t>
    </r>
    <r>
      <rPr>
        <sz val="10"/>
        <rFont val="Arial"/>
        <family val="0"/>
        <charset val="1"/>
      </rPr>
      <t xml:space="preserve">2026-10-29</t>
    </r>
    <r>
      <rPr>
        <sz val="10"/>
        <rFont val="WenQuanYi Zen Hei"/>
        <family val="2"/>
      </rPr>
      <t xml:space="preserve">（以生产调度、环保、船员等为主）</t>
    </r>
  </si>
  <si>
    <t xml:space="preserve">★</t>
  </si>
  <si>
    <t xml:space="preserve">港口集团，土木对口岗位少，看有无基建岗</t>
  </si>
  <si>
    <t xml:space="preserve">厦门港务控股集团</t>
  </si>
  <si>
    <t xml:space="preserve">https://xpgco.zhiye.com/</t>
  </si>
  <si>
    <t xml:space="preserve">官方招聘系统</t>
  </si>
  <si>
    <t xml:space="preserve">关注港口工程岗</t>
  </si>
  <si>
    <t xml:space="preserve">广东</t>
  </si>
  <si>
    <t xml:space="preserve">广州</t>
  </si>
  <si>
    <t xml:space="preserve">广州市城市规划勘测设计研究院</t>
  </si>
  <si>
    <t xml:space="preserve">广州市属</t>
  </si>
  <si>
    <r>
      <rPr>
        <sz val="10"/>
        <rFont val="WenQuanYi Zen Hei"/>
        <family val="2"/>
      </rPr>
      <t xml:space="preserve">事业转企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国企</t>
    </r>
  </si>
  <si>
    <t xml:space="preserve">http://sc.hotjob.cn/wt/GZPI/web/index?brandCode=1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</si>
  <si>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届校招，有面向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应届全日制研究生、土木工程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结构等专业的岗位，另有岩土工程研究岗</t>
    </r>
  </si>
  <si>
    <t xml:space="preserve">官方招聘系统网申</t>
  </si>
  <si>
    <t xml:space="preserve">研究生结构岗，和你学历、专业匹配</t>
  </si>
  <si>
    <t xml:space="preserve">深圳</t>
  </si>
  <si>
    <r>
      <rPr>
        <sz val="10"/>
        <rFont val="WenQuanYi Zen Hei"/>
        <family val="2"/>
      </rPr>
      <t xml:space="preserve">深圳市建筑设计研究总院（结构设计实习生，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届）</t>
    </r>
  </si>
  <si>
    <t xml:space="preserve">深圳国资</t>
  </si>
  <si>
    <t xml:space="preserve">国企</t>
  </si>
  <si>
    <t xml:space="preserve">https://www.ncss.cn/student/jobs/T6tpZPN3EjRmMiDoPz42ux/detail.html</t>
  </si>
  <si>
    <r>
      <rPr>
        <sz val="10"/>
        <rFont val="WenQuanYi Zen Hei"/>
        <family val="2"/>
      </rPr>
      <t xml:space="preserve">招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届结构设计实习生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人；本科及以上土木相关；能连续实习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个月以上；熟练</t>
    </r>
    <r>
      <rPr>
        <sz val="10"/>
        <rFont val="Arial"/>
        <family val="0"/>
        <charset val="1"/>
      </rPr>
      <t xml:space="preserve">AutoCAD</t>
    </r>
    <r>
      <rPr>
        <sz val="10"/>
        <rFont val="WenQuanYi Zen Hei"/>
        <family val="2"/>
      </rPr>
      <t xml:space="preserve">，了解</t>
    </r>
    <r>
      <rPr>
        <sz val="10"/>
        <rFont val="Arial"/>
        <family val="0"/>
        <charset val="1"/>
      </rPr>
      <t xml:space="preserve">PKPM/YJK</t>
    </r>
    <r>
      <rPr>
        <sz val="10"/>
        <rFont val="WenQuanYi Zen Hei"/>
        <family val="2"/>
      </rPr>
      <t xml:space="preserve">；需附成绩单和可实习时间</t>
    </r>
  </si>
  <si>
    <t xml:space="preserve">国家大学生就业服务平台投递</t>
  </si>
  <si>
    <t xml:space="preserve">以实习进入，争取转正留用</t>
  </si>
  <si>
    <r>
      <rPr>
        <sz val="10"/>
        <rFont val="WenQuanYi Zen Hei"/>
        <family val="2"/>
      </rPr>
      <t xml:space="preserve">航天规划设计集团（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届结构设计岗）</t>
    </r>
  </si>
  <si>
    <t xml:space="preserve">中国航天科工</t>
  </si>
  <si>
    <t xml:space="preserve">https://www.iguopin.com/company?id=10685386929595437</t>
  </si>
  <si>
    <r>
      <rPr>
        <sz val="10"/>
        <rFont val="WenQuanYi Zen Hei"/>
        <family val="2"/>
      </rPr>
      <t xml:space="preserve">国聘主页列有“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届结构设计岗”“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届工程勘察技术岗”，工作地点深圳福田</t>
    </r>
  </si>
  <si>
    <t xml:space="preserve">国聘网申</t>
  </si>
  <si>
    <t xml:space="preserve">核对岗位专业要求后投递</t>
  </si>
  <si>
    <t xml:space="preserve">深圳（全国）</t>
  </si>
  <si>
    <t xml:space="preserve">中建科工集团（原中建钢构）</t>
  </si>
  <si>
    <t xml:space="preserve">http://zjggzp.zhiye.com/</t>
  </si>
  <si>
    <t xml:space="preserve">https://campus.iguopin.com/index.php?a=comshow&amp;c=jobs&amp;id=2445&amp;m=mobile</t>
  </si>
  <si>
    <r>
      <rPr>
        <sz val="10"/>
        <rFont val="WenQuanYi Zen Hei"/>
        <family val="2"/>
      </rPr>
      <t xml:space="preserve">中建科工官方招聘站（校园招聘栏目）；国聘中建科工校招主页；中建钢构官网 </t>
    </r>
    <r>
      <rPr>
        <sz val="10"/>
        <rFont val="Arial"/>
        <family val="0"/>
        <charset val="1"/>
      </rPr>
      <t xml:space="preserve">zjgg.cscec.com</t>
    </r>
  </si>
  <si>
    <t xml:space="preserve">官方网申（需中建统一测评）</t>
  </si>
  <si>
    <r>
      <rPr>
        <sz val="10"/>
        <rFont val="WenQuanYi Zen Hei"/>
        <family val="2"/>
      </rPr>
      <t xml:space="preserve">国内最大钢结构集团，首选；进入系统选钢结构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深化设计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技术岗</t>
    </r>
  </si>
  <si>
    <t xml:space="preserve">中交四航工程研究院</t>
  </si>
  <si>
    <r>
      <rPr>
        <sz val="10"/>
        <rFont val="WenQuanYi Zen Hei"/>
        <family val="2"/>
      </rPr>
      <t xml:space="preserve">中国交建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四航局</t>
    </r>
  </si>
  <si>
    <t xml:space="preserve">https://etr.cccc4.com/contents/174/14192.html</t>
  </si>
  <si>
    <t xml:space="preserve">https://zhaopin.ccccltd.cn/custom/index</t>
  </si>
  <si>
    <r>
      <rPr>
        <sz val="10"/>
        <rFont val="WenQuanYi Zen Hei"/>
        <family val="2"/>
      </rPr>
      <t xml:space="preserve">官网人才招聘栏目（往年招混凝土耐久性方向科研与技术服务岗、结构所港航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海洋工程岗；要求重点高校应届硕士、英语六级；邮件主题“姓名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学校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专业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学历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应聘岗位”）</t>
    </r>
  </si>
  <si>
    <t xml:space="preserve">邮件或中国交建平台</t>
  </si>
  <si>
    <t xml:space="preserve">有港珠澳大桥腐蚀观测站，和你课题最契合；英语六级是门槛</t>
  </si>
  <si>
    <t xml:space="preserve">广东省建筑设计研究院集团</t>
  </si>
  <si>
    <t xml:space="preserve">广东省国资委</t>
  </si>
  <si>
    <t xml:space="preserve">地方国企（上市）</t>
  </si>
  <si>
    <t xml:space="preserve">https://gdadri.zhiye.com/campus</t>
  </si>
  <si>
    <t xml:space="preserve">https://www.gdadri.com/recruiting/index.html</t>
  </si>
  <si>
    <r>
      <rPr>
        <sz val="10"/>
        <rFont val="WenQuanYi Zen Hei"/>
        <family val="2"/>
      </rPr>
      <t xml:space="preserve">校招页共</t>
    </r>
    <r>
      <rPr>
        <sz val="10"/>
        <rFont val="Arial"/>
        <family val="0"/>
        <charset val="1"/>
      </rPr>
      <t xml:space="preserve">22</t>
    </r>
    <r>
      <rPr>
        <sz val="10"/>
        <rFont val="WenQuanYi Zen Hei"/>
        <family val="2"/>
      </rPr>
      <t xml:space="preserve">个职位（建筑、结构、给排水、暖通、电气等）；优才计划保底年薪</t>
    </r>
    <r>
      <rPr>
        <sz val="10"/>
        <rFont val="Arial"/>
        <family val="0"/>
        <charset val="1"/>
      </rPr>
      <t xml:space="preserve">15.5-25.5</t>
    </r>
    <r>
      <rPr>
        <sz val="10"/>
        <rFont val="WenQuanYi Zen Hei"/>
        <family val="2"/>
      </rPr>
      <t xml:space="preserve">万（三年培育期）；每人限投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个校招职位</t>
    </r>
  </si>
  <si>
    <r>
      <rPr>
        <sz val="10"/>
        <rFont val="WenQuanYi Zen Hei"/>
        <family val="2"/>
      </rPr>
      <t xml:space="preserve">北森网申（限投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个）</t>
    </r>
  </si>
  <si>
    <r>
      <rPr>
        <sz val="10"/>
        <rFont val="WenQuanYi Zen Hei"/>
        <family val="2"/>
      </rPr>
      <t xml:space="preserve">结构岗对口；只能投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个，先选结构设计</t>
    </r>
  </si>
  <si>
    <t xml:space="preserve">广东省建筑科学研究院集团</t>
  </si>
  <si>
    <t xml:space="preserve">广东建工</t>
  </si>
  <si>
    <t xml:space="preserve">https://campus.iguopin.com/index.php?a=com_show&amp;c=jobs&amp;id=4433&amp;m=</t>
  </si>
  <si>
    <t xml:space="preserve">国聘校招主页</t>
  </si>
  <si>
    <t xml:space="preserve">检测鉴定对口</t>
  </si>
  <si>
    <r>
      <rPr>
        <sz val="10"/>
        <rFont val="WenQuanYi Zen Hei"/>
        <family val="2"/>
      </rPr>
      <t xml:space="preserve">深圳（广东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广西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福建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海南等）</t>
    </r>
  </si>
  <si>
    <r>
      <rPr>
        <sz val="10"/>
        <rFont val="WenQuanYi Zen Hei"/>
        <family val="2"/>
      </rPr>
      <t xml:space="preserve">中建八局南方公司（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届校园招聘）</t>
    </r>
  </si>
  <si>
    <r>
      <rPr>
        <sz val="10"/>
        <rFont val="WenQuanYi Zen Hei"/>
        <family val="2"/>
      </rPr>
      <t xml:space="preserve">中国建筑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中建八局</t>
    </r>
  </si>
  <si>
    <t xml:space="preserve">https://job.cscec8b.com.cn/recruitment/job/detail/id/2779</t>
  </si>
  <si>
    <t xml:space="preserve">https://job.cscec8b.com.cn/8bnf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</si>
  <si>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届校招，招聘地区：广东、广西、福建、云南、贵州、湖南、海南、江西；本科及以上；下设深圳、广西、广州、福建、云贵等区域机构</t>
    </r>
  </si>
  <si>
    <t xml:space="preserve">中建八局官方网申（需中建统一测评）</t>
  </si>
  <si>
    <r>
      <rPr>
        <sz val="10"/>
        <rFont val="WenQuanYi Zen Hei"/>
        <family val="2"/>
      </rPr>
      <t xml:space="preserve">有福建区域机构，可选福建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广东</t>
    </r>
  </si>
  <si>
    <r>
      <rPr>
        <sz val="10"/>
        <rFont val="WenQuanYi Zen Hei"/>
        <family val="2"/>
      </rPr>
      <t xml:space="preserve">中建科技集团（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届校园招聘）</t>
    </r>
  </si>
  <si>
    <t xml:space="preserve">https://zhongjiankeji.zhiye.com/Campus</t>
  </si>
  <si>
    <t xml:space="preserve">https://job.cscec8b.com.cn/recruitment/job/detail/id/2765</t>
  </si>
  <si>
    <r>
      <rPr>
        <sz val="10"/>
        <rFont val="WenQuanYi Zen Hei"/>
        <family val="2"/>
      </rPr>
      <t xml:space="preserve">官网新闻 </t>
    </r>
    <r>
      <rPr>
        <sz val="10"/>
        <rFont val="Arial"/>
        <family val="0"/>
        <charset val="1"/>
      </rPr>
      <t xml:space="preserve">2026-09-04</t>
    </r>
    <r>
      <rPr>
        <sz val="10"/>
        <rFont val="WenQuanYi Zen Hei"/>
        <family val="2"/>
      </rPr>
      <t xml:space="preserve">：中建科技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届校园招聘正式启动</t>
    </r>
  </si>
  <si>
    <r>
      <rPr>
        <sz val="10"/>
        <rFont val="WenQuanYi Zen Hei"/>
        <family val="2"/>
      </rPr>
      <t xml:space="preserve">装配式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模块化建筑，结构设计岗可看</t>
    </r>
  </si>
  <si>
    <r>
      <rPr>
        <sz val="10"/>
        <rFont val="WenQuanYi Zen Hei"/>
        <family val="2"/>
      </rPr>
      <t xml:space="preserve">中交第四航务工程局（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届校园招聘）</t>
    </r>
  </si>
  <si>
    <t xml:space="preserve">中国交建</t>
  </si>
  <si>
    <t xml:space="preserve">https://www.cccc4.com/index.php/Hr/index/cat_id/35.html</t>
  </si>
  <si>
    <r>
      <rPr>
        <sz val="10"/>
        <rFont val="WenQuanYi Zen Hei"/>
        <family val="2"/>
      </rPr>
      <t xml:space="preserve">官网 </t>
    </r>
    <r>
      <rPr>
        <sz val="10"/>
        <rFont val="Arial"/>
        <family val="0"/>
        <charset val="1"/>
      </rPr>
      <t xml:space="preserve">2026-09-01</t>
    </r>
    <r>
      <rPr>
        <sz val="10"/>
        <rFont val="WenQuanYi Zen Hei"/>
        <family val="2"/>
      </rPr>
      <t xml:space="preserve">：中交四航局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届校园招聘正式启动</t>
    </r>
  </si>
  <si>
    <t xml:space="preserve">中国交建人才招聘平台网申</t>
  </si>
  <si>
    <t xml:space="preserve">华南港航施工主力</t>
  </si>
  <si>
    <r>
      <rPr>
        <sz val="10"/>
        <rFont val="WenQuanYi Zen Hei"/>
        <family val="2"/>
      </rPr>
      <t xml:space="preserve">广州地铁集团（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届校园招聘）</t>
    </r>
  </si>
  <si>
    <t xml:space="preserve">广州市国资委</t>
  </si>
  <si>
    <t xml:space="preserve">https://gzmetro.zhiye.com/campus</t>
  </si>
  <si>
    <t xml:space="preserve">https://www.ncss.cn/student/jobs/4ZWwrRz6CrjMezA9QdpzmV/detail.html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</si>
  <si>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届校招公告：招聘</t>
    </r>
    <r>
      <rPr>
        <sz val="10"/>
        <rFont val="Arial"/>
        <family val="0"/>
        <charset val="1"/>
      </rPr>
      <t xml:space="preserve">150</t>
    </r>
    <r>
      <rPr>
        <sz val="10"/>
        <rFont val="WenQuanYi Zen Hei"/>
        <family val="2"/>
      </rPr>
      <t xml:space="preserve">人，面向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月取得毕业证和学位证的学生；华南理工等高校宣讲</t>
    </r>
  </si>
  <si>
    <t xml:space="preserve">关注土建结构维护类岗位</t>
  </si>
  <si>
    <r>
      <rPr>
        <sz val="10"/>
        <rFont val="WenQuanYi Zen Hei"/>
        <family val="2"/>
      </rPr>
      <t xml:space="preserve">招商局集团（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届校园招聘）</t>
    </r>
  </si>
  <si>
    <t xml:space="preserve">国务院国资委</t>
  </si>
  <si>
    <t xml:space="preserve">https://cmhk.zhiye.com/custom/xiaoyuan?hideAll=true</t>
  </si>
  <si>
    <r>
      <rPr>
        <sz val="10"/>
        <rFont val="WenQuanYi Zen Hei"/>
        <family val="2"/>
      </rPr>
      <t xml:space="preserve">招商局集团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届校园招聘，工程技术类岗位</t>
    </r>
    <r>
      <rPr>
        <sz val="10"/>
        <rFont val="Arial"/>
        <family val="0"/>
        <charset val="1"/>
      </rPr>
      <t xml:space="preserve">16</t>
    </r>
    <r>
      <rPr>
        <sz val="10"/>
        <rFont val="WenQuanYi Zen Hei"/>
        <family val="2"/>
      </rPr>
      <t xml:space="preserve">个；下属含招商漳州等</t>
    </r>
  </si>
  <si>
    <t xml:space="preserve">筛选工程技术类，招商漳州在福建</t>
  </si>
  <si>
    <r>
      <rPr>
        <sz val="10"/>
        <rFont val="WenQuanYi Zen Hei"/>
        <family val="2"/>
      </rPr>
      <t xml:space="preserve">中海地产（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届校园招聘）</t>
    </r>
  </si>
  <si>
    <t xml:space="preserve">https://coli688.zhiye.com/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</si>
  <si>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届校招宣讲会与开放日（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9-10</t>
    </r>
    <r>
      <rPr>
        <sz val="10"/>
        <rFont val="WenQuanYi Zen Hei"/>
        <family val="2"/>
      </rPr>
      <t xml:space="preserve">月，含厦门站）</t>
    </r>
  </si>
  <si>
    <t xml:space="preserve">土建工程岗，平台好</t>
  </si>
  <si>
    <r>
      <rPr>
        <sz val="10"/>
        <rFont val="WenQuanYi Zen Hei"/>
        <family val="2"/>
      </rPr>
      <t xml:space="preserve">招商蛇口（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届）</t>
    </r>
  </si>
  <si>
    <t xml:space="preserve">招商局集团</t>
  </si>
  <si>
    <t xml:space="preserve">https://cmsk1979.zhiye.com/campus/jobs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</si>
  <si>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届工程管理类岗位（如机电岗，面向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届本科及以上）</t>
    </r>
  </si>
  <si>
    <t xml:space="preserve">地产工程管理</t>
  </si>
  <si>
    <r>
      <rPr>
        <sz val="10"/>
        <rFont val="WenQuanYi Zen Hei"/>
        <family val="2"/>
      </rPr>
      <t xml:space="preserve">保利发展控股（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届）</t>
    </r>
  </si>
  <si>
    <t xml:space="preserve">中国保利</t>
  </si>
  <si>
    <t xml:space="preserve">https://polynew.zhiye.com/campus</t>
  </si>
  <si>
    <t xml:space="preserve">https://polycareer.zhiye.com/campus</t>
  </si>
  <si>
    <r>
      <rPr>
        <sz val="10"/>
        <rFont val="WenQuanYi Zen Hei"/>
        <family val="2"/>
      </rPr>
      <t xml:space="preserve">招聘对象为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月至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月毕业的学生；“保利和伙人”管培生计划</t>
    </r>
  </si>
  <si>
    <t xml:space="preserve">地产，工程岗待确认</t>
  </si>
  <si>
    <t xml:space="preserve">上海</t>
  </si>
  <si>
    <r>
      <rPr>
        <sz val="10"/>
        <rFont val="WenQuanYi Zen Hei"/>
        <family val="2"/>
      </rPr>
      <t xml:space="preserve">同济设计集团（</t>
    </r>
    <r>
      <rPr>
        <sz val="10"/>
        <rFont val="Arial"/>
        <family val="0"/>
        <charset val="1"/>
      </rPr>
      <t xml:space="preserve">TJAD</t>
    </r>
    <r>
      <rPr>
        <sz val="10"/>
        <rFont val="WenQuanYi Zen Hei"/>
        <family val="2"/>
      </rPr>
      <t xml:space="preserve">）</t>
    </r>
  </si>
  <si>
    <t xml:space="preserve">同济大学</t>
  </si>
  <si>
    <t xml:space="preserve">高校企业</t>
  </si>
  <si>
    <t xml:space="preserve">http://ekp.tjad.cn/</t>
  </si>
  <si>
    <t xml:space="preserve">http://www.tjad.cn/</t>
  </si>
  <si>
    <r>
      <rPr>
        <sz val="10"/>
        <rFont val="WenQuanYi Zen Hei"/>
        <family val="2"/>
      </rPr>
      <t xml:space="preserve">官网“校园招聘”入口；</t>
    </r>
    <r>
      <rPr>
        <sz val="10"/>
        <rFont val="Arial"/>
        <family val="0"/>
        <charset val="1"/>
      </rPr>
      <t xml:space="preserve">HR</t>
    </r>
    <r>
      <rPr>
        <sz val="10"/>
        <rFont val="WenQuanYi Zen Hei"/>
        <family val="2"/>
      </rPr>
      <t xml:space="preserve">电话 </t>
    </r>
    <r>
      <rPr>
        <sz val="10"/>
        <rFont val="Arial"/>
        <family val="0"/>
        <charset val="1"/>
      </rPr>
      <t xml:space="preserve">021-35377318</t>
    </r>
    <r>
      <rPr>
        <sz val="10"/>
        <rFont val="WenQuanYi Zen Hei"/>
        <family val="2"/>
      </rPr>
      <t xml:space="preserve">，邮箱 </t>
    </r>
    <r>
      <rPr>
        <sz val="10"/>
        <rFont val="Arial"/>
        <family val="0"/>
        <charset val="1"/>
      </rPr>
      <t xml:space="preserve">5tjh@tjad.cn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届岗位需进入系统查看）</t>
    </r>
  </si>
  <si>
    <t xml:space="preserve">官方系统网申</t>
  </si>
  <si>
    <t xml:space="preserve">顶级设计院结构岗，先电话确认是否还收简历</t>
  </si>
  <si>
    <r>
      <rPr>
        <sz val="10"/>
        <rFont val="WenQuanYi Zen Hei"/>
        <family val="2"/>
      </rPr>
      <t xml:space="preserve">中建八局上海公司（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届）</t>
    </r>
  </si>
  <si>
    <t xml:space="preserve">https://job.cscec8b.com.cn/8bsh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</si>
  <si>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届校招：工程技术、商务造价、安全管理、新能源工程、智能建造等；下设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家分支机构（含华南分公司、上海工程设计研究院）</t>
    </r>
  </si>
  <si>
    <t xml:space="preserve">中建八局官方网申</t>
  </si>
  <si>
    <r>
      <rPr>
        <sz val="10"/>
        <rFont val="WenQuanYi Zen Hei"/>
        <family val="2"/>
      </rPr>
      <t xml:space="preserve">上海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重庆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北京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深圳等</t>
    </r>
  </si>
  <si>
    <r>
      <rPr>
        <sz val="10"/>
        <rFont val="WenQuanYi Zen Hei"/>
        <family val="2"/>
      </rPr>
      <t xml:space="preserve">中冶赛迪集团（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校园招聘）</t>
    </r>
  </si>
  <si>
    <r>
      <rPr>
        <sz val="10"/>
        <rFont val="WenQuanYi Zen Hei"/>
        <family val="2"/>
      </rPr>
      <t xml:space="preserve">中国五矿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中国中冶</t>
    </r>
  </si>
  <si>
    <t xml:space="preserve">https://hr.cisdi.com.cn/job.php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</si>
  <si>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届应届硕博；工作地点重庆、北京、上海、西安、成都、深圳及海外；流程：网申→线上测评→面试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笔试→</t>
    </r>
    <r>
      <rPr>
        <sz val="10"/>
        <rFont val="Arial"/>
        <family val="0"/>
        <charset val="1"/>
      </rPr>
      <t xml:space="preserve">offer</t>
    </r>
    <r>
      <rPr>
        <sz val="10"/>
        <rFont val="WenQuanYi Zen Hei"/>
        <family val="2"/>
      </rPr>
      <t xml:space="preserve">；每人最多投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个岗位</t>
    </r>
  </si>
  <si>
    <t xml:space="preserve">官方招聘专题网网申</t>
  </si>
  <si>
    <t xml:space="preserve">工业建筑钢结构设计</t>
  </si>
  <si>
    <t xml:space="preserve">隧道股份（上海隧道、市政集团、上海路桥、城建设计等）</t>
  </si>
  <si>
    <t xml:space="preserve">上海市国资委</t>
  </si>
  <si>
    <t xml:space="preserve">https://stec-sucg.zhiye.com/</t>
  </si>
  <si>
    <t xml:space="preserve">隧道股份招聘门户（校园招聘入口）</t>
  </si>
  <si>
    <t xml:space="preserve">城建设计院有桥梁设计岗，可重点看</t>
  </si>
  <si>
    <t xml:space="preserve">中建港航局集团</t>
  </si>
  <si>
    <t xml:space="preserve">https://cschcc.cscec.com/rlzy/xyzp/</t>
  </si>
  <si>
    <t xml:space="preserve">官网校园招聘栏目</t>
  </si>
  <si>
    <t xml:space="preserve">中国建筑人才招聘平台网申</t>
  </si>
  <si>
    <r>
      <rPr>
        <sz val="10"/>
        <rFont val="WenQuanYi Zen Hei"/>
        <family val="2"/>
      </rPr>
      <t xml:space="preserve">港航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基础设施</t>
    </r>
  </si>
  <si>
    <r>
      <rPr>
        <sz val="10"/>
        <rFont val="WenQuanYi Zen Hei"/>
        <family val="2"/>
      </rPr>
      <t xml:space="preserve">上海振华重工（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届校招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振华数智研究院）</t>
    </r>
  </si>
  <si>
    <t xml:space="preserve">https://ccccltd.iguopin.com/job-campus</t>
  </si>
  <si>
    <r>
      <rPr>
        <sz val="10"/>
        <rFont val="WenQuanYi Zen Hei"/>
        <family val="2"/>
      </rPr>
      <t xml:space="preserve">中交国聘平台列有“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届校招振华数智研究院技术研发岗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数字化运营岗”（上海，本科）</t>
    </r>
  </si>
  <si>
    <t xml:space="preserve">研发岗偏数字化；钢结构制造岗需在平台内另查</t>
  </si>
  <si>
    <t xml:space="preserve">浙江</t>
  </si>
  <si>
    <t xml:space="preserve">杭州（全省）</t>
  </si>
  <si>
    <r>
      <rPr>
        <sz val="10"/>
        <rFont val="WenQuanYi Zen Hei"/>
        <family val="2"/>
      </rPr>
      <t xml:space="preserve">浙江省交通投资集团（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届校园招聘，含浙江交工、数智交院等成员单位）</t>
    </r>
  </si>
  <si>
    <t xml:space="preserve">浙江省国资委</t>
  </si>
  <si>
    <t xml:space="preserve">https://www.cncico.com/content/82659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</si>
  <si>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届校招公告（</t>
    </r>
    <r>
      <rPr>
        <sz val="10"/>
        <rFont val="Arial"/>
        <family val="0"/>
        <charset val="1"/>
      </rPr>
      <t xml:space="preserve">2026-09-10</t>
    </r>
    <r>
      <rPr>
        <sz val="10"/>
        <rFont val="WenQuanYi Zen Hei"/>
        <family val="2"/>
      </rPr>
      <t xml:space="preserve">），覆盖集团总部及各成员单位，各单位附</t>
    </r>
    <r>
      <rPr>
        <sz val="10"/>
        <rFont val="Arial"/>
        <family val="0"/>
        <charset val="1"/>
      </rPr>
      <t xml:space="preserve">PC</t>
    </r>
    <r>
      <rPr>
        <sz val="10"/>
        <rFont val="WenQuanYi Zen Hei"/>
        <family val="2"/>
      </rPr>
      <t xml:space="preserve">端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移动端投递链接；流程：简历筛选→岗位测试→面试→</t>
    </r>
    <r>
      <rPr>
        <sz val="10"/>
        <rFont val="Arial"/>
        <family val="0"/>
        <charset val="1"/>
      </rPr>
      <t xml:space="preserve">offer→</t>
    </r>
    <r>
      <rPr>
        <sz val="10"/>
        <rFont val="WenQuanYi Zen Hei"/>
        <family val="2"/>
      </rPr>
      <t xml:space="preserve">三方；咨询 </t>
    </r>
    <r>
      <rPr>
        <sz val="10"/>
        <rFont val="Arial"/>
        <family val="0"/>
        <charset val="1"/>
      </rPr>
      <t xml:space="preserve">0571-87166820 / 0571-87165865</t>
    </r>
  </si>
  <si>
    <t xml:space="preserve">公告内各单位链接网申</t>
  </si>
  <si>
    <t xml:space="preserve">数智交院（原浙江省交通规划设计研究院）桥梁设计、浙江交工路桥施工都可投</t>
  </si>
  <si>
    <r>
      <rPr>
        <sz val="10"/>
        <rFont val="WenQuanYi Zen Hei"/>
        <family val="2"/>
      </rPr>
      <t xml:space="preserve">绍兴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上海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广州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宿迁</t>
    </r>
  </si>
  <si>
    <t xml:space="preserve">精工钢构（长江精工钢结构集团）</t>
  </si>
  <si>
    <r>
      <rPr>
        <sz val="10"/>
        <rFont val="WenQuanYi Zen Hei"/>
        <family val="2"/>
      </rPr>
      <t xml:space="preserve">精工控股（上市</t>
    </r>
    <r>
      <rPr>
        <sz val="10"/>
        <rFont val="Arial"/>
        <family val="0"/>
        <charset val="1"/>
      </rPr>
      <t xml:space="preserve">600496</t>
    </r>
    <r>
      <rPr>
        <sz val="10"/>
        <rFont val="WenQuanYi Zen Hei"/>
        <family val="2"/>
      </rPr>
      <t xml:space="preserve">）</t>
    </r>
  </si>
  <si>
    <t xml:space="preserve">http://hr.600496.com/index.php/Home/Campus/index.html</t>
  </si>
  <si>
    <t xml:space="preserve">https://hr.600496.com/index.php/home/campus/xzbz.html</t>
  </si>
  <si>
    <r>
      <rPr>
        <sz val="10"/>
        <rFont val="WenQuanYi Zen Hei"/>
        <family val="2"/>
      </rPr>
      <t xml:space="preserve">官方校园招聘页：储备人才（“精鹰计划”硕博）、技术类、工程管理类、生产管理类等，地点含绍兴、上海、广州、宿迁、海外；网申与宣讲会现场“双投递”，每人选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个岗位</t>
    </r>
  </si>
  <si>
    <r>
      <rPr>
        <sz val="10"/>
        <rFont val="WenQuanYi Zen Hei"/>
        <family val="2"/>
      </rPr>
      <t xml:space="preserve">官网网申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宣讲会现场</t>
    </r>
  </si>
  <si>
    <t xml:space="preserve">钢结构行业龙头，技术类岗位对口</t>
  </si>
  <si>
    <t xml:space="preserve">杭州</t>
  </si>
  <si>
    <t xml:space="preserve">杭萧钢构</t>
  </si>
  <si>
    <r>
      <rPr>
        <sz val="10"/>
        <rFont val="WenQuanYi Zen Hei"/>
        <family val="2"/>
      </rPr>
      <t xml:space="preserve">民营上市（</t>
    </r>
    <r>
      <rPr>
        <sz val="10"/>
        <rFont val="Arial"/>
        <family val="0"/>
        <charset val="1"/>
      </rPr>
      <t xml:space="preserve">600477</t>
    </r>
    <r>
      <rPr>
        <sz val="10"/>
        <rFont val="WenQuanYi Zen Hei"/>
        <family val="2"/>
      </rPr>
      <t xml:space="preserve">）</t>
    </r>
  </si>
  <si>
    <t xml:space="preserve">https://hxss.com.cn/sociology.html</t>
  </si>
  <si>
    <t xml:space="preserve">https://hxss.com.cn/job1/59.html</t>
  </si>
  <si>
    <r>
      <rPr>
        <sz val="10"/>
        <rFont val="WenQuanYi Zen Hei"/>
        <family val="2"/>
      </rPr>
      <t xml:space="preserve">官网校园招聘页（</t>
    </r>
    <r>
      <rPr>
        <sz val="10"/>
        <rFont val="Arial"/>
        <family val="0"/>
        <charset val="1"/>
      </rPr>
      <t xml:space="preserve">2026-02-28</t>
    </r>
    <r>
      <rPr>
        <sz val="10"/>
        <rFont val="WenQuanYi Zen Hei"/>
        <family val="2"/>
      </rPr>
      <t xml:space="preserve">发布，届别未标）；另有“技术工程师（钢结构）”岗位；电话 </t>
    </r>
    <r>
      <rPr>
        <sz val="10"/>
        <rFont val="Arial"/>
        <family val="0"/>
        <charset val="1"/>
      </rPr>
      <t xml:space="preserve">0571-82645988</t>
    </r>
    <r>
      <rPr>
        <sz val="10"/>
        <rFont val="WenQuanYi Zen Hei"/>
        <family val="2"/>
      </rPr>
      <t xml:space="preserve">，邮箱 </t>
    </r>
    <r>
      <rPr>
        <sz val="10"/>
        <rFont val="Arial"/>
        <family val="0"/>
        <charset val="1"/>
      </rPr>
      <t xml:space="preserve">hx@hxss.com.cn</t>
    </r>
  </si>
  <si>
    <r>
      <rPr>
        <sz val="10"/>
        <rFont val="WenQuanYi Zen Hei"/>
        <family val="2"/>
      </rPr>
      <t xml:space="preserve">官网投递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邮件</t>
    </r>
  </si>
  <si>
    <t xml:space="preserve">钢结构技术岗，可直接邮件</t>
  </si>
  <si>
    <t xml:space="preserve">中国电建华东勘测设计研究院（华东院）</t>
  </si>
  <si>
    <t xml:space="preserve">https://hdec.zhiye.com/campus</t>
  </si>
  <si>
    <t xml:space="preserve">https://hdec.zhiye.com/</t>
  </si>
  <si>
    <r>
      <rPr>
        <sz val="10"/>
        <rFont val="WenQuanYi Zen Hei"/>
        <family val="2"/>
      </rPr>
      <t xml:space="preserve">华东院招聘官网，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月集中发布大量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届校招岗位（岩土、勘察、交通市政工程院等）</t>
    </r>
  </si>
  <si>
    <t xml:space="preserve">在岗位列表里筛选结构、交通市政方向</t>
  </si>
  <si>
    <r>
      <rPr>
        <sz val="10"/>
        <rFont val="WenQuanYi Zen Hei"/>
        <family val="2"/>
      </rPr>
      <t xml:space="preserve">杭州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宁波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温州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上海</t>
    </r>
  </si>
  <si>
    <r>
      <rPr>
        <sz val="10"/>
        <rFont val="WenQuanYi Zen Hei"/>
        <family val="2"/>
      </rPr>
      <t xml:space="preserve">中建八局浙江公司（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届）</t>
    </r>
  </si>
  <si>
    <t xml:space="preserve">https://job.cscec8b.com.cn/8bzj</t>
  </si>
  <si>
    <t xml:space="preserve">房屋建筑类（土木工程、智能建造、安全、工程管理、工程造价）、基础设施类、机电安装类、职能类</t>
  </si>
  <si>
    <t xml:space="preserve">江苏</t>
  </si>
  <si>
    <t xml:space="preserve">北京（南京为第二总部）</t>
  </si>
  <si>
    <r>
      <rPr>
        <sz val="10"/>
        <rFont val="WenQuanYi Zen Hei"/>
        <family val="2"/>
      </rPr>
      <t xml:space="preserve">中国电建北京勘测设计研究院（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届秋季校园招聘）</t>
    </r>
  </si>
  <si>
    <t xml:space="preserve">https://bhidi.zhiye.com/</t>
  </si>
  <si>
    <t xml:space="preserve">https://bhidi.powerchina.cn/col/col10127/art/2026/art_b9615884a96342c0811752ba7264e0d1.html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</si>
  <si>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届秋招公告（</t>
    </r>
    <r>
      <rPr>
        <sz val="10"/>
        <rFont val="Arial"/>
        <family val="0"/>
        <charset val="1"/>
      </rPr>
      <t xml:space="preserve">2026-09-08</t>
    </r>
    <r>
      <rPr>
        <sz val="10"/>
        <rFont val="WenQuanYi Zen Hei"/>
        <family val="2"/>
      </rPr>
      <t xml:space="preserve">）：面向国内外高校应届硕博；简历筛选 </t>
    </r>
    <r>
      <rPr>
        <sz val="10"/>
        <rFont val="Arial"/>
        <family val="0"/>
        <charset val="1"/>
      </rPr>
      <t xml:space="preserve">2026-09-01 </t>
    </r>
    <r>
      <rPr>
        <sz val="10"/>
        <rFont val="WenQuanYi Zen Hei"/>
        <family val="2"/>
      </rPr>
      <t xml:space="preserve">至 </t>
    </r>
    <r>
      <rPr>
        <sz val="10"/>
        <rFont val="Arial"/>
        <family val="0"/>
        <charset val="1"/>
      </rPr>
      <t xml:space="preserve">2027-01-31</t>
    </r>
  </si>
  <si>
    <t xml:space="preserve">可选南京第二总部，截止时间宽裕</t>
  </si>
  <si>
    <t xml:space="preserve">南京等</t>
  </si>
  <si>
    <r>
      <rPr>
        <sz val="10"/>
        <rFont val="WenQuanYi Zen Hei"/>
        <family val="2"/>
      </rPr>
      <t xml:space="preserve">中建八局第三建设有限公司（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届）</t>
    </r>
  </si>
  <si>
    <t xml:space="preserve">https://job.cscec8b.com.cn/83</t>
  </si>
  <si>
    <r>
      <rPr>
        <sz val="10"/>
        <rFont val="WenQuanYi Zen Hei"/>
        <family val="2"/>
      </rPr>
      <t xml:space="preserve">全国招聘，本科及以上；下设南京、上海、苏南、苏中、徐州等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家分支机构及设计研究院</t>
    </r>
  </si>
  <si>
    <t xml:space="preserve">山东</t>
  </si>
  <si>
    <t xml:space="preserve">济南</t>
  </si>
  <si>
    <r>
      <rPr>
        <sz val="10"/>
        <rFont val="WenQuanYi Zen Hei"/>
        <family val="2"/>
      </rPr>
      <t xml:space="preserve">中建八局第一建设有限公司（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届）</t>
    </r>
  </si>
  <si>
    <t xml:space="preserve">https://job.cscec8b.com.cn/81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</si>
  <si>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届“星火”专项计划：智能建造、零碳创想家（双碳）、城市合伙人（运营）等，本科到硕士</t>
    </r>
  </si>
  <si>
    <t xml:space="preserve">青岛</t>
  </si>
  <si>
    <r>
      <rPr>
        <sz val="10"/>
        <rFont val="WenQuanYi Zen Hei"/>
        <family val="2"/>
      </rPr>
      <t xml:space="preserve">中建八局第四建设有限公司（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届）</t>
    </r>
  </si>
  <si>
    <t xml:space="preserve">https://job.cscec8b.com.cn/84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</si>
  <si>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届校招专页</t>
    </r>
  </si>
  <si>
    <t xml:space="preserve">天津</t>
  </si>
  <si>
    <t xml:space="preserve">天津（全国）</t>
  </si>
  <si>
    <r>
      <rPr>
        <sz val="10"/>
        <rFont val="WenQuanYi Zen Hei"/>
        <family val="2"/>
      </rPr>
      <t xml:space="preserve">中国交建（集团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届全球校园招聘，含一航局等）</t>
    </r>
  </si>
  <si>
    <t xml:space="preserve">https://ccccltd.zhiye.com/custom/zpgg?hideMenu=1</t>
  </si>
  <si>
    <r>
      <rPr>
        <sz val="10"/>
        <rFont val="WenQuanYi Zen Hei"/>
        <family val="2"/>
      </rPr>
      <t xml:space="preserve">官网公告：“交天下 建未来”中交集团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届全球校园招聘 </t>
    </r>
    <r>
      <rPr>
        <sz val="10"/>
        <rFont val="Arial"/>
        <family val="0"/>
        <charset val="1"/>
      </rPr>
      <t xml:space="preserve">2026-08-31 </t>
    </r>
    <r>
      <rPr>
        <sz val="10"/>
        <rFont val="WenQuanYi Zen Hei"/>
        <family val="2"/>
      </rPr>
      <t xml:space="preserve">正式启动；国聘平台 </t>
    </r>
    <r>
      <rPr>
        <sz val="10"/>
        <rFont val="Arial"/>
        <family val="0"/>
        <charset val="1"/>
      </rPr>
      <t xml:space="preserve">ccccltd.iguopin.com/job-campus </t>
    </r>
    <r>
      <rPr>
        <sz val="10"/>
        <rFont val="WenQuanYi Zen Hei"/>
        <family val="2"/>
      </rPr>
      <t xml:space="preserve">也有一航局城市交通工程公司等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届岗位</t>
    </r>
  </si>
  <si>
    <t xml:space="preserve">在平台内按单位筛选一航局、三航局、四航院、港湾院等</t>
  </si>
  <si>
    <t xml:space="preserve">多地</t>
  </si>
  <si>
    <r>
      <rPr>
        <sz val="10"/>
        <rFont val="WenQuanYi Zen Hei"/>
        <family val="2"/>
      </rPr>
      <t xml:space="preserve">成都（杭州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济南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南宁等有岗位）</t>
    </r>
  </si>
  <si>
    <r>
      <rPr>
        <sz val="10"/>
        <rFont val="WenQuanYi Zen Hei"/>
        <family val="2"/>
      </rPr>
      <t xml:space="preserve">中铁二院（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届实习生招募及校园招聘）</t>
    </r>
  </si>
  <si>
    <t xml:space="preserve">中国中铁</t>
  </si>
  <si>
    <t xml:space="preserve">https://www.ncss.cn/student/jobs/BbViVFgZsog3EZ9rUU3Yfh/detail.html</t>
  </si>
  <si>
    <r>
      <rPr>
        <sz val="10"/>
        <rFont val="WenQuanYi Zen Hei"/>
        <family val="2"/>
      </rPr>
      <t xml:space="preserve">面向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届硕士及以上、专业对口、熟练掌握一门外语；专业含土木工程、土木水利等</t>
    </r>
  </si>
  <si>
    <t xml:space="preserve">国家大学生就业服务平台</t>
  </si>
  <si>
    <t xml:space="preserve">提前批可能已结束，打开页面确认是否仍可投</t>
  </si>
  <si>
    <t xml:space="preserve">北京（上海有检测岗）</t>
  </si>
  <si>
    <t xml:space="preserve">中冶建筑研究总院（中冶建研院）</t>
  </si>
  <si>
    <t xml:space="preserve">http://www.cribc.com/rlzy/xyzp/</t>
  </si>
  <si>
    <t xml:space="preserve">官网校园招聘栏目（往年简章：北京总部和上海设检测工程师岗，专业含土木、建筑、材料等）</t>
  </si>
  <si>
    <r>
      <rPr>
        <sz val="10"/>
        <rFont val="WenQuanYi Zen Hei"/>
        <family val="2"/>
      </rPr>
      <t xml:space="preserve">官网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国聘</t>
    </r>
  </si>
  <si>
    <t xml:space="preserve">检测鉴定龙头，钢结构检测、腐蚀评估对口</t>
  </si>
  <si>
    <r>
      <rPr>
        <sz val="10"/>
        <rFont val="WenQuanYi Zen Hei"/>
        <family val="2"/>
      </rPr>
      <t xml:space="preserve">北京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青岛等</t>
    </r>
  </si>
  <si>
    <t xml:space="preserve">中国钢研科技集团（含钢铁研究总院青岛海洋腐蚀研究所）</t>
  </si>
  <si>
    <t xml:space="preserve">https://gangyan.zhiye.com/campus</t>
  </si>
  <si>
    <t xml:space="preserve">中国钢研校园招聘系统</t>
  </si>
  <si>
    <t xml:space="preserve">海洋腐蚀试验检测方向，你的盐雾试验经验对口</t>
  </si>
  <si>
    <r>
      <rPr>
        <sz val="10"/>
        <rFont val="WenQuanYi Zen Hei"/>
        <family val="2"/>
      </rPr>
      <t xml:space="preserve">武汉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南京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广州</t>
    </r>
  </si>
  <si>
    <t xml:space="preserve">中铁大桥勘测设计院（中铁大桥院）</t>
  </si>
  <si>
    <t xml:space="preserve">https://www.brdi.com.cn/list/49.html</t>
  </si>
  <si>
    <r>
      <rPr>
        <sz val="10"/>
        <rFont val="WenQuanYi Zen Hei"/>
        <family val="2"/>
      </rPr>
      <t xml:space="preserve">官网人才招聘栏目（以土木工程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桥梁为主要需求）</t>
    </r>
  </si>
  <si>
    <r>
      <rPr>
        <sz val="10"/>
        <rFont val="WenQuanYi Zen Hei"/>
        <family val="2"/>
      </rPr>
      <t xml:space="preserve">官网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官方网申</t>
    </r>
  </si>
  <si>
    <t xml:space="preserve">桥梁设计、检测、养护首选；关注补录和春招</t>
  </si>
  <si>
    <r>
      <rPr>
        <sz val="10"/>
        <rFont val="WenQuanYi Zen Hei"/>
        <family val="2"/>
      </rPr>
      <t xml:space="preserve">扬州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舟山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宝鸡</t>
    </r>
  </si>
  <si>
    <t xml:space="preserve">中铁宝桥集团</t>
  </si>
  <si>
    <t xml:space="preserve">http://www.crbbg.com/rlzy/rczp.htm</t>
  </si>
  <si>
    <t xml:space="preserve">官网人才招聘栏目</t>
  </si>
  <si>
    <t xml:space="preserve">官网</t>
  </si>
  <si>
    <t xml:space="preserve">钢桥制造，涂装防腐与课题直接相关</t>
  </si>
  <si>
    <t xml:space="preserve">全国</t>
  </si>
  <si>
    <r>
      <rPr>
        <sz val="10"/>
        <rFont val="WenQuanYi Zen Hei"/>
        <family val="2"/>
      </rPr>
      <t xml:space="preserve">中国能源建设集团（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届全球秋季校园招聘）</t>
    </r>
  </si>
  <si>
    <t xml:space="preserve">https://ceec.iguopin.com/job</t>
  </si>
  <si>
    <r>
      <rPr>
        <sz val="10"/>
        <rFont val="WenQuanYi Zen Hei"/>
        <family val="2"/>
      </rPr>
      <t xml:space="preserve">官方平台列出各成员单位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届岗位（如湖南院结构工程师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硕士、华东电力设计院等）</t>
    </r>
  </si>
  <si>
    <t xml:space="preserve">筛选广东院、浙江院、华东电力设计院的土建结构岗</t>
  </si>
  <si>
    <r>
      <rPr>
        <sz val="10"/>
        <rFont val="WenQuanYi Zen Hei"/>
        <family val="2"/>
      </rPr>
      <t xml:space="preserve">中国建材集团（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届校园招聘）</t>
    </r>
  </si>
  <si>
    <t xml:space="preserve">https://cnbmjob.iguopin.com/notice</t>
  </si>
  <si>
    <t xml:space="preserve">https://cnbmjob.iguopin.com/job</t>
  </si>
  <si>
    <r>
      <rPr>
        <sz val="10"/>
        <rFont val="WenQuanYi Zen Hei"/>
        <family val="2"/>
      </rPr>
      <t xml:space="preserve">中国建材集团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届校园招聘公告与岗位列表（含工程造价等）</t>
    </r>
  </si>
  <si>
    <t xml:space="preserve">在单位筛选里找“中建材钢构”深化设计岗</t>
  </si>
  <si>
    <t xml:space="preserve">中国建筑集团人才招聘平台（中建各单位统一入口）</t>
  </si>
  <si>
    <r>
      <rPr>
        <sz val="10"/>
        <rFont val="WenQuanYi Zen Hei"/>
        <family val="2"/>
      </rPr>
      <t xml:space="preserve">平台列有中建各工程局、专业公司的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届校招岗位（如中建四局各子公司、中建七局四公司、中建六局装饰等）</t>
    </r>
  </si>
  <si>
    <t xml:space="preserve">国聘网申（需中建统一测评）</t>
  </si>
  <si>
    <t xml:space="preserve">中建科工、中建海峡、中建三局华南、中建四局等都在这里按单位筛选</t>
  </si>
  <si>
    <t xml:space="preserve">中建一局（招聘网申系统）</t>
  </si>
  <si>
    <t xml:space="preserve">https://cscec1b.zhiye.com/xiaoyuan</t>
  </si>
  <si>
    <r>
      <rPr>
        <sz val="10"/>
        <rFont val="WenQuanYi Zen Hei"/>
        <family val="2"/>
      </rPr>
      <t xml:space="preserve">中建一局网申系统；往年规则：每人最多投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个公司，提交后不可改志愿，在线笔试</t>
    </r>
  </si>
  <si>
    <t xml:space="preserve">华南、华东均有分公司</t>
  </si>
  <si>
    <t xml:space="preserve">中建交通建设集团</t>
  </si>
  <si>
    <t xml:space="preserve">https://campus.iguopin.com/index.php?a=comshow&amp;c=jobs&amp;id=3690&amp;m=mobile</t>
  </si>
  <si>
    <t xml:space="preserve">国聘校招主页；往届通过中建校园招聘平台网申和测评</t>
  </si>
  <si>
    <t xml:space="preserve">路桥方向</t>
  </si>
  <si>
    <t xml:space="preserve">中国五矿（含中冶各单位）校园招聘</t>
  </si>
  <si>
    <t xml:space="preserve">https://minmetals.iguopin.com/job</t>
  </si>
  <si>
    <t xml:space="preserve">https://campus.iguopin.com/index.php?a=comshow&amp;c=Jobs&amp;id=1408&amp;m=Mobile</t>
  </si>
  <si>
    <t xml:space="preserve">国聘平台列有中冶宝钢、中冶北方、中冶京诚、中冶焦耐等单位岗位</t>
  </si>
  <si>
    <t xml:space="preserve">筛选上海宝冶、中国二十冶、中冶建研院</t>
  </si>
  <si>
    <r>
      <rPr>
        <sz val="10"/>
        <rFont val="WenQuanYi Zen Hei"/>
        <family val="2"/>
      </rPr>
      <t xml:space="preserve">国家开发投资集团（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年度应届毕业生招聘）</t>
    </r>
  </si>
  <si>
    <t xml:space="preserve">https://sdic1.iguopin.com/notice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</si>
  <si>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年度应届毕业生招聘公告；子企业有面向土木类的建筑设计类岗位；国投校园招聘主页为指定投递渠道</t>
    </r>
  </si>
  <si>
    <t xml:space="preserve">含厦门华夏国际电力等沿海子企业</t>
  </si>
  <si>
    <r>
      <rPr>
        <sz val="10"/>
        <rFont val="WenQuanYi Zen Hei"/>
        <family val="2"/>
      </rPr>
      <t xml:space="preserve">中铁投资集团（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年校园招聘简章）</t>
    </r>
  </si>
  <si>
    <t xml:space="preserve">https://www.crec.cn/zttzjt/rlzy/zpxx/2026100816145396264/index.html</t>
  </si>
  <si>
    <r>
      <rPr>
        <sz val="10"/>
        <rFont val="Arial"/>
        <family val="0"/>
        <charset val="1"/>
      </rPr>
      <t xml:space="preserve">2026-09-24</t>
    </r>
    <r>
      <rPr>
        <sz val="10"/>
        <rFont val="WenQuanYi Zen Hei"/>
        <family val="2"/>
      </rPr>
      <t xml:space="preserve">发布；面向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届全日制本科及以上、专业对口、成绩前列；首年平均收入</t>
    </r>
    <r>
      <rPr>
        <sz val="10"/>
        <rFont val="Arial"/>
        <family val="0"/>
        <charset val="1"/>
      </rPr>
      <t xml:space="preserve">8-15</t>
    </r>
    <r>
      <rPr>
        <sz val="10"/>
        <rFont val="WenQuanYi Zen Hei"/>
        <family val="2"/>
      </rPr>
      <t xml:space="preserve">万</t>
    </r>
  </si>
  <si>
    <t xml:space="preserve">邮箱投递申报表、汇总表、推荐表、成绩单等，或扫码在线投递</t>
  </si>
  <si>
    <t xml:space="preserve">投资建设类，偏管理</t>
  </si>
  <si>
    <r>
      <rPr>
        <b val="true"/>
        <sz val="14"/>
        <color rgb="FF1F4E78"/>
        <rFont val="WenQuanYi Zen Hei"/>
        <family val="2"/>
      </rPr>
      <t xml:space="preserve">官网入口已找到，但官网上暂未见 </t>
    </r>
    <r>
      <rPr>
        <b val="true"/>
        <sz val="14"/>
        <color rgb="FF1F4E78"/>
        <rFont val="Arial"/>
        <family val="0"/>
        <charset val="1"/>
      </rPr>
      <t xml:space="preserve">2027</t>
    </r>
    <r>
      <rPr>
        <b val="true"/>
        <sz val="14"/>
        <color rgb="FF1F4E78"/>
        <rFont val="WenQuanYi Zen Hei"/>
        <family val="2"/>
      </rPr>
      <t xml:space="preserve">届公告的单位</t>
    </r>
  </si>
  <si>
    <r>
      <rPr>
        <i val="true"/>
        <sz val="9"/>
        <color rgb="FF595959"/>
        <rFont val="WenQuanYi Zen Hei"/>
        <family val="2"/>
      </rPr>
      <t xml:space="preserve">这些单位的官网或官方招聘系统已找到，但截至 </t>
    </r>
    <r>
      <rPr>
        <i val="true"/>
        <sz val="9"/>
        <color rgb="FF595959"/>
        <rFont val="Arial"/>
        <family val="0"/>
        <charset val="1"/>
      </rPr>
      <t xml:space="preserve">2026-10-21 </t>
    </r>
    <r>
      <rPr>
        <i val="true"/>
        <sz val="9"/>
        <color rgb="FF595959"/>
        <rFont val="WenQuanYi Zen Hei"/>
        <family val="2"/>
      </rPr>
      <t xml:space="preserve">官网上没有看到</t>
    </r>
    <r>
      <rPr>
        <i val="true"/>
        <sz val="9"/>
        <color rgb="FF595959"/>
        <rFont val="Arial"/>
        <family val="0"/>
        <charset val="1"/>
      </rPr>
      <t xml:space="preserve">2027</t>
    </r>
    <r>
      <rPr>
        <i val="true"/>
        <sz val="9"/>
        <color rgb="FF595959"/>
        <rFont val="WenQuanYi Zen Hei"/>
        <family val="2"/>
      </rPr>
      <t xml:space="preserve">届公告（或只有往届信息），请定期打开链接查看。</t>
    </r>
  </si>
  <si>
    <t xml:space="preserve">城市</t>
  </si>
  <si>
    <t xml:space="preserve">官方链接（可点击）</t>
  </si>
  <si>
    <t xml:space="preserve">官网现状</t>
  </si>
  <si>
    <t xml:space="preserve">福州地铁集团</t>
  </si>
  <si>
    <t xml:space="preserve">http://www.fzmtr.com/html/fzdt/zpgg/index.html</t>
  </si>
  <si>
    <r>
      <rPr>
        <sz val="10"/>
        <rFont val="WenQuanYi Zen Hei"/>
        <family val="2"/>
      </rPr>
      <t xml:space="preserve">官网招聘公告栏目，未见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</t>
    </r>
  </si>
  <si>
    <t xml:space="preserve">多在春季招聘</t>
  </si>
  <si>
    <t xml:space="preserve">中铁广州工程局</t>
  </si>
  <si>
    <t xml:space="preserve">https://campus.iguopin.com/index.php?a=com_show&amp;c=jobs&amp;id=1313&amp;m=</t>
  </si>
  <si>
    <r>
      <rPr>
        <sz val="10"/>
        <rFont val="WenQuanYi Zen Hei"/>
        <family val="2"/>
      </rPr>
      <t xml:space="preserve">国聘主页当时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个在招职位</t>
    </r>
  </si>
  <si>
    <r>
      <rPr>
        <sz val="10"/>
        <rFont val="WenQuanYi Zen Hei"/>
        <family val="2"/>
      </rPr>
      <t xml:space="preserve">关注中国中铁官网 </t>
    </r>
    <r>
      <rPr>
        <sz val="10"/>
        <rFont val="Arial"/>
        <family val="0"/>
        <charset val="1"/>
      </rPr>
      <t xml:space="preserve">www.crec.cn</t>
    </r>
  </si>
  <si>
    <t xml:space="preserve">珠海横琴</t>
  </si>
  <si>
    <t xml:space="preserve">中国铁建港航局</t>
  </si>
  <si>
    <t xml:space="preserve">https://www.iguopin.com/company?id=10685287266428509</t>
  </si>
  <si>
    <r>
      <rPr>
        <sz val="10"/>
        <rFont val="WenQuanYi Zen Hei"/>
        <family val="2"/>
      </rPr>
      <t xml:space="preserve">国聘中国铁建主页，港航局当时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个在招职位</t>
    </r>
  </si>
  <si>
    <t xml:space="preserve">中建三局华南公司</t>
  </si>
  <si>
    <t xml:space="preserve">https://3bhn.cscec.com/</t>
  </si>
  <si>
    <r>
      <rPr>
        <sz val="10"/>
        <rFont val="WenQuanYi Zen Hei"/>
        <family val="2"/>
      </rPr>
      <t xml:space="preserve">官网未见招聘内容；中建三局人才招聘 </t>
    </r>
    <r>
      <rPr>
        <sz val="10"/>
        <rFont val="Arial"/>
        <family val="0"/>
        <charset val="1"/>
      </rPr>
      <t xml:space="preserve">https://3bur.cscec.com/rlzy11/rczp11/</t>
    </r>
  </si>
  <si>
    <t xml:space="preserve">在中国建筑人才招聘平台筛选</t>
  </si>
  <si>
    <t xml:space="preserve">上海建科咨询（上海市建筑科学研究院）</t>
  </si>
  <si>
    <t xml:space="preserve">http://www.jkec.com.cn/index.html</t>
  </si>
  <si>
    <r>
      <rPr>
        <sz val="10"/>
        <rFont val="WenQuanYi Zen Hei"/>
        <family val="2"/>
      </rPr>
      <t xml:space="preserve">官网；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届简章见 </t>
    </r>
    <r>
      <rPr>
        <sz val="10"/>
        <rFont val="Arial"/>
        <family val="0"/>
        <charset val="1"/>
      </rPr>
      <t xml:space="preserve">ncss.cn/student/jobs/DxEjbq12zWeAgHP43x1u2N/detail.html</t>
    </r>
  </si>
  <si>
    <t xml:space="preserve">检测、结构鉴定岗对口，盯官网和公众号</t>
  </si>
  <si>
    <t xml:space="preserve">上海宝冶（厦门分公司）</t>
  </si>
  <si>
    <t xml:space="preserve">https://www.iguopin.com/company?id=10685380531105433</t>
  </si>
  <si>
    <r>
      <rPr>
        <sz val="10"/>
        <rFont val="WenQuanYi Zen Hei"/>
        <family val="2"/>
      </rPr>
      <t xml:space="preserve">国聘主页当时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职位</t>
    </r>
  </si>
  <si>
    <t xml:space="preserve">钢结构施工强企</t>
  </si>
  <si>
    <t xml:space="preserve">上海建工四建集团</t>
  </si>
  <si>
    <t xml:space="preserve">https://www.iguopin.com/company?id=10685380228402071</t>
  </si>
  <si>
    <t xml:space="preserve">南京</t>
  </si>
  <si>
    <t xml:space="preserve">江苏交通控股（江苏交控人才发展集团）</t>
  </si>
  <si>
    <t xml:space="preserve">https://jsjkdx.jchc.cn/portal/list/index/id/18.html</t>
  </si>
  <si>
    <r>
      <rPr>
        <sz val="10"/>
        <rFont val="WenQuanYi Zen Hei"/>
        <family val="2"/>
      </rPr>
      <t xml:space="preserve">官网通知公告栏目，未检索到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年第一批次原文</t>
    </r>
  </si>
  <si>
    <t xml:space="preserve">第三方转载称已发布硕士专场（含桥梁工程），请到官网核实</t>
  </si>
  <si>
    <t xml:space="preserve">华设设计集团</t>
  </si>
  <si>
    <t xml:space="preserve">http://www.cdg.com.cn/articleDetailV2/1166</t>
  </si>
  <si>
    <r>
      <rPr>
        <sz val="10"/>
        <rFont val="WenQuanYi Zen Hei"/>
        <family val="2"/>
      </rPr>
      <t xml:space="preserve">官网招聘页（道桥、规划、港航类）；往年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月中旬才开网申</t>
    </r>
  </si>
  <si>
    <t xml:space="preserve">时间来得及</t>
  </si>
  <si>
    <t xml:space="preserve">苏交科集团</t>
  </si>
  <si>
    <t xml:space="preserve">https://www.jsti.com/</t>
  </si>
  <si>
    <r>
      <rPr>
        <sz val="10"/>
        <rFont val="WenQuanYi Zen Hei"/>
        <family val="2"/>
      </rPr>
      <t xml:space="preserve">官网，未见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</t>
    </r>
  </si>
  <si>
    <t xml:space="preserve">桥梁设计、检测监测岗对口</t>
  </si>
  <si>
    <t xml:space="preserve">青岛地铁集团</t>
  </si>
  <si>
    <t xml:space="preserve">https://www.qd-metro.com/recruit.php</t>
  </si>
  <si>
    <r>
      <rPr>
        <sz val="10"/>
        <rFont val="WenQuanYi Zen Hei"/>
        <family val="2"/>
      </rPr>
      <t xml:space="preserve">官网最新为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届补充招聘（</t>
    </r>
    <r>
      <rPr>
        <sz val="10"/>
        <rFont val="Arial"/>
        <family val="0"/>
        <charset val="1"/>
      </rPr>
      <t xml:space="preserve">2026-03-12</t>
    </r>
    <r>
      <rPr>
        <sz val="10"/>
        <rFont val="WenQuanYi Zen Hei"/>
        <family val="2"/>
      </rPr>
      <t xml:space="preserve">）</t>
    </r>
  </si>
  <si>
    <t xml:space="preserve">中交第一航务工程勘察设计院（一航院）</t>
  </si>
  <si>
    <t xml:space="preserve">https://www.iguopin.com/company?id=10685385065949955</t>
  </si>
  <si>
    <r>
      <rPr>
        <sz val="10"/>
        <rFont val="WenQuanYi Zen Hei"/>
        <family val="2"/>
      </rPr>
      <t xml:space="preserve">国聘主页，未见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届岗位</t>
    </r>
  </si>
  <si>
    <t xml:space="preserve">港工结构设计</t>
  </si>
  <si>
    <t xml:space="preserve">中国铁建大桥工程局</t>
  </si>
  <si>
    <t xml:space="preserve">https://www.crcc.cn/col/col1643/art/2026/art_564131610.html</t>
  </si>
  <si>
    <r>
      <rPr>
        <sz val="10"/>
        <rFont val="WenQuanYi Zen Hei"/>
        <family val="2"/>
      </rPr>
      <t xml:space="preserve">官网最新为</t>
    </r>
    <r>
      <rPr>
        <sz val="10"/>
        <rFont val="Arial"/>
        <family val="0"/>
        <charset val="1"/>
      </rPr>
      <t xml:space="preserve">2026-04-30</t>
    </r>
    <r>
      <rPr>
        <sz val="10"/>
        <rFont val="WenQuanYi Zen Hei"/>
        <family val="2"/>
      </rPr>
      <t xml:space="preserve">公开招聘（非校招），电话 </t>
    </r>
    <r>
      <rPr>
        <sz val="10"/>
        <rFont val="Arial"/>
        <family val="0"/>
        <charset val="1"/>
      </rPr>
      <t xml:space="preserve">022-88958873</t>
    </r>
  </si>
  <si>
    <t xml:space="preserve">桥梁施工对口</t>
  </si>
  <si>
    <t xml:space="preserve">广西</t>
  </si>
  <si>
    <t xml:space="preserve">南宁</t>
  </si>
  <si>
    <t xml:space="preserve">广西北部湾投资集团（含广西交通设计集团）</t>
  </si>
  <si>
    <t xml:space="preserve">https://bgigc.zhiye.com/Campus</t>
  </si>
  <si>
    <r>
      <rPr>
        <sz val="10"/>
        <rFont val="WenQuanYi Zen Hei"/>
        <family val="2"/>
      </rPr>
      <t xml:space="preserve">官方招聘系统，最新为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届公告</t>
    </r>
  </si>
  <si>
    <r>
      <rPr>
        <sz val="10"/>
        <rFont val="WenQuanYi Zen Hei"/>
        <family val="2"/>
      </rPr>
      <t xml:space="preserve">北京（深圳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广州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厦门有分院）</t>
    </r>
  </si>
  <si>
    <t xml:space="preserve">北京市市政工程设计研究总院</t>
  </si>
  <si>
    <t xml:space="preserve">https://www.bmedi.cn/</t>
  </si>
  <si>
    <r>
      <rPr>
        <sz val="10"/>
        <rFont val="WenQuanYi Zen Hei"/>
        <family val="2"/>
      </rPr>
      <t xml:space="preserve">官网首页未见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届公告</t>
    </r>
  </si>
  <si>
    <r>
      <rPr>
        <sz val="10"/>
        <rFont val="WenQuanYi Zen Hei"/>
        <family val="2"/>
      </rPr>
      <t xml:space="preserve">第三方转载称</t>
    </r>
    <r>
      <rPr>
        <sz val="10"/>
        <rFont val="Arial"/>
        <family val="0"/>
        <charset val="1"/>
      </rPr>
      <t xml:space="preserve">10-23</t>
    </r>
    <r>
      <rPr>
        <sz val="10"/>
        <rFont val="WenQuanYi Zen Hei"/>
        <family val="2"/>
      </rPr>
      <t xml:space="preserve">截止，请尽快到官网核实</t>
    </r>
  </si>
  <si>
    <t xml:space="preserve">中国石化（毕业生招聘唯一通道）</t>
  </si>
  <si>
    <t xml:space="preserve">http://job.sinopec.com</t>
  </si>
  <si>
    <r>
      <rPr>
        <sz val="10"/>
        <rFont val="WenQuanYi Zen Hei"/>
        <family val="2"/>
      </rPr>
      <t xml:space="preserve">往年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月下旬启动；转载页显示有面向结构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桥隧硕士的基础设施智能建造岗</t>
    </r>
  </si>
  <si>
    <t xml:space="preserve">沿海炼化基地有土建岗</t>
  </si>
  <si>
    <t xml:space="preserve">央企集团与官方平台总入口</t>
  </si>
  <si>
    <t xml:space="preserve">大型集团的各子公司通常在同一个系统里投递，进入后按单位、地点、专业筛选。</t>
  </si>
  <si>
    <r>
      <rPr>
        <b val="true"/>
        <sz val="10"/>
        <color rgb="FFFFFFFF"/>
        <rFont val="WenQuanYi Zen Hei"/>
        <family val="2"/>
      </rPr>
      <t xml:space="preserve">平台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集团</t>
    </r>
  </si>
  <si>
    <t xml:space="preserve">官方总入口（可点击）</t>
  </si>
  <si>
    <t xml:space="preserve">中国建筑（中建各单位）</t>
  </si>
  <si>
    <r>
      <rPr>
        <sz val="10"/>
        <rFont val="WenQuanYi Zen Hei"/>
        <family val="2"/>
      </rPr>
      <t xml:space="preserve">中建八局另有独立系统 </t>
    </r>
    <r>
      <rPr>
        <sz val="10"/>
        <rFont val="Arial"/>
        <family val="0"/>
        <charset val="1"/>
      </rPr>
      <t xml:space="preserve">https://job.cscec8b.com.cn </t>
    </r>
    <r>
      <rPr>
        <sz val="10"/>
        <rFont val="WenQuanYi Zen Hei"/>
        <family val="2"/>
      </rPr>
      <t xml:space="preserve">；中建一局 </t>
    </r>
    <r>
      <rPr>
        <sz val="10"/>
        <rFont val="Arial"/>
        <family val="0"/>
        <charset val="1"/>
      </rPr>
      <t xml:space="preserve">https://cscec1b.zhiye.com/xiaoyuan </t>
    </r>
    <r>
      <rPr>
        <sz val="10"/>
        <rFont val="WenQuanYi Zen Hei"/>
        <family val="2"/>
      </rPr>
      <t xml:space="preserve">；多数单位需先参加中建统一测评</t>
    </r>
  </si>
  <si>
    <r>
      <rPr>
        <sz val="10"/>
        <rFont val="WenQuanYi Zen Hei"/>
        <family val="2"/>
      </rPr>
      <t xml:space="preserve">中国交建（中交各局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院）</t>
    </r>
  </si>
  <si>
    <r>
      <rPr>
        <sz val="10"/>
        <rFont val="WenQuanYi Zen Hei"/>
        <family val="2"/>
      </rPr>
      <t xml:space="preserve">国聘版 </t>
    </r>
    <r>
      <rPr>
        <sz val="10"/>
        <rFont val="Arial"/>
        <family val="0"/>
        <charset val="1"/>
      </rPr>
      <t xml:space="preserve">https://ccccltd.iguopin.com/job-campus </t>
    </r>
    <r>
      <rPr>
        <sz val="10"/>
        <rFont val="WenQuanYi Zen Hei"/>
        <family val="2"/>
      </rPr>
      <t xml:space="preserve">；公告页 </t>
    </r>
    <r>
      <rPr>
        <sz val="10"/>
        <rFont val="Arial"/>
        <family val="0"/>
        <charset val="1"/>
      </rPr>
      <t xml:space="preserve">https://ccccltd.zhiye.com/custom/zpgg?hideMenu=1</t>
    </r>
  </si>
  <si>
    <t xml:space="preserve">https://www.crec.cn/</t>
  </si>
  <si>
    <r>
      <rPr>
        <sz val="10"/>
        <rFont val="WenQuanYi Zen Hei"/>
        <family val="2"/>
      </rPr>
      <t xml:space="preserve">各单位在官网“人才招聘”栏目发布；国聘主页 </t>
    </r>
    <r>
      <rPr>
        <sz val="10"/>
        <rFont val="Arial"/>
        <family val="0"/>
        <charset val="1"/>
      </rPr>
      <t xml:space="preserve">https://www.iguopin.com/company?id=10685310193909968</t>
    </r>
  </si>
  <si>
    <t xml:space="preserve">中国铁建</t>
  </si>
  <si>
    <t xml:space="preserve">https://www.crcc.cn/</t>
  </si>
  <si>
    <r>
      <rPr>
        <sz val="10"/>
        <rFont val="WenQuanYi Zen Hei"/>
        <family val="2"/>
      </rPr>
      <t xml:space="preserve">国聘主页 </t>
    </r>
    <r>
      <rPr>
        <sz val="10"/>
        <rFont val="Arial"/>
        <family val="0"/>
        <charset val="1"/>
      </rPr>
      <t xml:space="preserve">https://www.iguopin.com/company?id=10685287266428509</t>
    </r>
  </si>
  <si>
    <t xml:space="preserve">中国能建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</si>
  <si>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届全球秋季校园招聘</t>
    </r>
  </si>
  <si>
    <r>
      <rPr>
        <sz val="10"/>
        <rFont val="WenQuanYi Zen Hei"/>
        <family val="2"/>
      </rPr>
      <t xml:space="preserve">各成员单位官网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北森系统</t>
    </r>
  </si>
  <si>
    <r>
      <rPr>
        <sz val="10"/>
        <rFont val="WenQuanYi Zen Hei"/>
        <family val="2"/>
      </rPr>
      <t xml:space="preserve">如华东院 </t>
    </r>
    <r>
      <rPr>
        <sz val="10"/>
        <rFont val="Arial"/>
        <family val="0"/>
        <charset val="1"/>
      </rPr>
      <t xml:space="preserve">https://hdec.zhiye.com/ </t>
    </r>
    <r>
      <rPr>
        <sz val="10"/>
        <rFont val="WenQuanYi Zen Hei"/>
        <family val="2"/>
      </rPr>
      <t xml:space="preserve">、北京院 </t>
    </r>
    <r>
      <rPr>
        <sz val="10"/>
        <rFont val="Arial"/>
        <family val="0"/>
        <charset val="1"/>
      </rPr>
      <t xml:space="preserve">https://bhidi.zhiye.com/ </t>
    </r>
    <r>
      <rPr>
        <sz val="10"/>
        <rFont val="WenQuanYi Zen Hei"/>
        <family val="2"/>
      </rPr>
      <t xml:space="preserve">、福建院 </t>
    </r>
    <r>
      <rPr>
        <sz val="10"/>
        <rFont val="Arial"/>
        <family val="0"/>
        <charset val="1"/>
      </rPr>
      <t xml:space="preserve">https://fedi.zhiye.com/</t>
    </r>
  </si>
  <si>
    <r>
      <rPr>
        <sz val="10"/>
        <rFont val="WenQuanYi Zen Hei"/>
        <family val="2"/>
      </rPr>
      <t xml:space="preserve">中国五矿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中国中冶</t>
    </r>
  </si>
  <si>
    <t xml:space="preserve">中国建材</t>
  </si>
  <si>
    <t xml:space="preserve">国资央企招聘平台</t>
  </si>
  <si>
    <t xml:space="preserve">https://cujiuye.iguopin.com/</t>
  </si>
  <si>
    <t xml:space="preserve">国聘校招专区</t>
  </si>
  <si>
    <t xml:space="preserve">https://xiaoyuan.iguopin.com/?m=Mobile</t>
  </si>
  <si>
    <t xml:space="preserve">国家大学生就业服务平台（教育部）</t>
  </si>
  <si>
    <t xml:space="preserve">https://www.ncss.cn/student/24365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</si>
  <si>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届全国网络联合招聘；专题 </t>
    </r>
    <r>
      <rPr>
        <sz val="10"/>
        <rFont val="Arial"/>
        <family val="0"/>
        <charset val="1"/>
      </rPr>
      <t xml:space="preserve">https://www.ncss.cn/ncss/zt/2027xyzp.shtml</t>
    </r>
  </si>
  <si>
    <t xml:space="preserve">华侨大学就业创业指导中心</t>
  </si>
  <si>
    <t xml:space="preserve">https://bys.hqu.edu.cn/</t>
  </si>
  <si>
    <r>
      <rPr>
        <sz val="10"/>
        <rFont val="WenQuanYi Zen Hei"/>
        <family val="2"/>
      </rPr>
      <t xml:space="preserve">土木学院就业信息 </t>
    </r>
    <r>
      <rPr>
        <sz val="10"/>
        <rFont val="Arial"/>
        <family val="0"/>
        <charset val="1"/>
      </rPr>
      <t xml:space="preserve">https://civil.hqu.edu.cn/jyxx.htm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</si>
</sst>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\-mm\-dd"/>
    <numFmt numFmtId="167" formatCode="0\天;&quot;已过&quot;0\天;&quot;今天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WenQuanYi Zen Hei"/>
      <family val="2"/>
    </font>
    <font>
      <b val="true"/>
      <sz val="14"/>
      <color rgb="FF1F4E78"/>
      <name val="Arial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1"/>
      <color rgb="FF1F4E78"/>
      <name val="WenQuanYi Zen Hei"/>
      <family val="2"/>
    </font>
    <font>
      <i val="true"/>
      <sz val="9"/>
      <color rgb="FF595959"/>
      <name val="WenQuanYi Zen Hei"/>
      <family val="2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C55A11"/>
      </font>
    </dxf>
    <dxf>
      <font>
        <name val="Arial"/>
        <charset val="1"/>
        <family val="0"/>
        <color rgb="FF808080"/>
      </font>
      <fill>
        <patternFill>
          <bgColor rgb="FFEDEDED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E2EF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xmlq.com.cn/Recruit/campus/1" TargetMode="External"/><Relationship Id="rId2" Type="http://schemas.openxmlformats.org/officeDocument/2006/relationships/hyperlink" Target="https://holsin.zhiye.com/" TargetMode="External"/><Relationship Id="rId3" Type="http://schemas.openxmlformats.org/officeDocument/2006/relationships/hyperlink" Target="https://fjjky.zhiye.com/" TargetMode="External"/><Relationship Id="rId4" Type="http://schemas.openxmlformats.org/officeDocument/2006/relationships/hyperlink" Target="http://www.fjjky.com/" TargetMode="External"/><Relationship Id="rId5" Type="http://schemas.openxmlformats.org/officeDocument/2006/relationships/hyperlink" Target="https://xmgdjt.zhiye.com/campus/jobs" TargetMode="External"/><Relationship Id="rId6" Type="http://schemas.openxmlformats.org/officeDocument/2006/relationships/hyperlink" Target="https://xmhjjt.zhiye.com/intern/jobs" TargetMode="External"/><Relationship Id="rId7" Type="http://schemas.openxmlformats.org/officeDocument/2006/relationships/hyperlink" Target="https://3treesgroup.zhaopin.com/jobs1/index.html?iten=two" TargetMode="External"/><Relationship Id="rId8" Type="http://schemas.openxmlformats.org/officeDocument/2006/relationships/hyperlink" Target="https://chinacdc.zhiye.com/subzw?k=" TargetMode="External"/><Relationship Id="rId9" Type="http://schemas.openxmlformats.org/officeDocument/2006/relationships/hyperlink" Target="https://www.chinacdc.com/join" TargetMode="External"/><Relationship Id="rId10" Type="http://schemas.openxmlformats.org/officeDocument/2006/relationships/hyperlink" Target="https://fedi.zhiye.com/" TargetMode="External"/><Relationship Id="rId11" Type="http://schemas.openxmlformats.org/officeDocument/2006/relationships/hyperlink" Target="https://cscec.iguopin.com/job-campus" TargetMode="External"/><Relationship Id="rId12" Type="http://schemas.openxmlformats.org/officeDocument/2006/relationships/hyperlink" Target="https://scdc.cscec.com/" TargetMode="External"/><Relationship Id="rId13" Type="http://schemas.openxmlformats.org/officeDocument/2006/relationships/hyperlink" Target="https://fzport2.zhiye.com/jobs" TargetMode="External"/><Relationship Id="rId14" Type="http://schemas.openxmlformats.org/officeDocument/2006/relationships/hyperlink" Target="https://xpgco.zhiye.com/" TargetMode="External"/><Relationship Id="rId15" Type="http://schemas.openxmlformats.org/officeDocument/2006/relationships/hyperlink" Target="http://sc.hotjob.cn/wt/GZPI/web/index?brandCode=1" TargetMode="External"/><Relationship Id="rId16" Type="http://schemas.openxmlformats.org/officeDocument/2006/relationships/hyperlink" Target="https://www.ncss.cn/student/jobs/T6tpZPN3EjRmMiDoPz42ux/detail.html" TargetMode="External"/><Relationship Id="rId17" Type="http://schemas.openxmlformats.org/officeDocument/2006/relationships/hyperlink" Target="https://www.iguopin.com/company?id=10685386929595437" TargetMode="External"/><Relationship Id="rId18" Type="http://schemas.openxmlformats.org/officeDocument/2006/relationships/hyperlink" Target="http://zjggzp.zhiye.com/" TargetMode="External"/><Relationship Id="rId19" Type="http://schemas.openxmlformats.org/officeDocument/2006/relationships/hyperlink" Target="https://campus.iguopin.com/index.php?a=comshow&amp;c=jobs&amp;id=2445&amp;m=mobile" TargetMode="External"/><Relationship Id="rId20" Type="http://schemas.openxmlformats.org/officeDocument/2006/relationships/hyperlink" Target="https://etr.cccc4.com/contents/174/14192.html" TargetMode="External"/><Relationship Id="rId21" Type="http://schemas.openxmlformats.org/officeDocument/2006/relationships/hyperlink" Target="https://zhaopin.ccccltd.cn/custom/index" TargetMode="External"/><Relationship Id="rId22" Type="http://schemas.openxmlformats.org/officeDocument/2006/relationships/hyperlink" Target="https://gdadri.zhiye.com/campus" TargetMode="External"/><Relationship Id="rId23" Type="http://schemas.openxmlformats.org/officeDocument/2006/relationships/hyperlink" Target="https://www.gdadri.com/recruiting/index.html" TargetMode="External"/><Relationship Id="rId24" Type="http://schemas.openxmlformats.org/officeDocument/2006/relationships/hyperlink" Target="https://campus.iguopin.com/index.php?a=com_show&amp;c=jobs&amp;id=4433&amp;m=" TargetMode="External"/><Relationship Id="rId25" Type="http://schemas.openxmlformats.org/officeDocument/2006/relationships/hyperlink" Target="https://job.cscec8b.com.cn/recruitment/job/detail/id/2779" TargetMode="External"/><Relationship Id="rId26" Type="http://schemas.openxmlformats.org/officeDocument/2006/relationships/hyperlink" Target="https://job.cscec8b.com.cn/8bnf" TargetMode="External"/><Relationship Id="rId27" Type="http://schemas.openxmlformats.org/officeDocument/2006/relationships/hyperlink" Target="https://zhongjiankeji.zhiye.com/Campus" TargetMode="External"/><Relationship Id="rId28" Type="http://schemas.openxmlformats.org/officeDocument/2006/relationships/hyperlink" Target="https://job.cscec8b.com.cn/recruitment/job/detail/id/2765" TargetMode="External"/><Relationship Id="rId29" Type="http://schemas.openxmlformats.org/officeDocument/2006/relationships/hyperlink" Target="https://www.cccc4.com/index.php/Hr/index/cat_id/35.html" TargetMode="External"/><Relationship Id="rId30" Type="http://schemas.openxmlformats.org/officeDocument/2006/relationships/hyperlink" Target="https://zhaopin.ccccltd.cn/custom/index" TargetMode="External"/><Relationship Id="rId31" Type="http://schemas.openxmlformats.org/officeDocument/2006/relationships/hyperlink" Target="https://gzmetro.zhiye.com/campus" TargetMode="External"/><Relationship Id="rId32" Type="http://schemas.openxmlformats.org/officeDocument/2006/relationships/hyperlink" Target="https://www.ncss.cn/student/jobs/4ZWwrRz6CrjMezA9QdpzmV/detail.html" TargetMode="External"/><Relationship Id="rId33" Type="http://schemas.openxmlformats.org/officeDocument/2006/relationships/hyperlink" Target="https://cmhk.zhiye.com/custom/xiaoyuan?hideAll=true" TargetMode="External"/><Relationship Id="rId34" Type="http://schemas.openxmlformats.org/officeDocument/2006/relationships/hyperlink" Target="https://coli688.zhiye.com/" TargetMode="External"/><Relationship Id="rId35" Type="http://schemas.openxmlformats.org/officeDocument/2006/relationships/hyperlink" Target="https://cmsk1979.zhiye.com/campus/jobs" TargetMode="External"/><Relationship Id="rId36" Type="http://schemas.openxmlformats.org/officeDocument/2006/relationships/hyperlink" Target="https://polynew.zhiye.com/campus" TargetMode="External"/><Relationship Id="rId37" Type="http://schemas.openxmlformats.org/officeDocument/2006/relationships/hyperlink" Target="https://polycareer.zhiye.com/campus" TargetMode="External"/><Relationship Id="rId38" Type="http://schemas.openxmlformats.org/officeDocument/2006/relationships/hyperlink" Target="http://ekp.tjad.cn/" TargetMode="External"/><Relationship Id="rId39" Type="http://schemas.openxmlformats.org/officeDocument/2006/relationships/hyperlink" Target="http://www.tjad.cn/" TargetMode="External"/><Relationship Id="rId40" Type="http://schemas.openxmlformats.org/officeDocument/2006/relationships/hyperlink" Target="https://job.cscec8b.com.cn/8bsh" TargetMode="External"/><Relationship Id="rId41" Type="http://schemas.openxmlformats.org/officeDocument/2006/relationships/hyperlink" Target="https://hr.cisdi.com.cn/job.php" TargetMode="External"/><Relationship Id="rId42" Type="http://schemas.openxmlformats.org/officeDocument/2006/relationships/hyperlink" Target="https://stec-sucg.zhiye.com/" TargetMode="External"/><Relationship Id="rId43" Type="http://schemas.openxmlformats.org/officeDocument/2006/relationships/hyperlink" Target="https://cschcc.cscec.com/rlzy/xyzp/" TargetMode="External"/><Relationship Id="rId44" Type="http://schemas.openxmlformats.org/officeDocument/2006/relationships/hyperlink" Target="https://cscec.iguopin.com/job-campus" TargetMode="External"/><Relationship Id="rId45" Type="http://schemas.openxmlformats.org/officeDocument/2006/relationships/hyperlink" Target="https://ccccltd.iguopin.com/job-campus" TargetMode="External"/><Relationship Id="rId46" Type="http://schemas.openxmlformats.org/officeDocument/2006/relationships/hyperlink" Target="https://www.cncico.com/content/82659" TargetMode="External"/><Relationship Id="rId47" Type="http://schemas.openxmlformats.org/officeDocument/2006/relationships/hyperlink" Target="http://hr.600496.com/index.php/Home/Campus/index.html" TargetMode="External"/><Relationship Id="rId48" Type="http://schemas.openxmlformats.org/officeDocument/2006/relationships/hyperlink" Target="https://hr.600496.com/index.php/home/campus/xzbz.html" TargetMode="External"/><Relationship Id="rId49" Type="http://schemas.openxmlformats.org/officeDocument/2006/relationships/hyperlink" Target="https://hxss.com.cn/sociology.html" TargetMode="External"/><Relationship Id="rId50" Type="http://schemas.openxmlformats.org/officeDocument/2006/relationships/hyperlink" Target="https://hxss.com.cn/job1/59.html" TargetMode="External"/><Relationship Id="rId51" Type="http://schemas.openxmlformats.org/officeDocument/2006/relationships/hyperlink" Target="https://hdec.zhiye.com/campus" TargetMode="External"/><Relationship Id="rId52" Type="http://schemas.openxmlformats.org/officeDocument/2006/relationships/hyperlink" Target="https://hdec.zhiye.com/" TargetMode="External"/><Relationship Id="rId53" Type="http://schemas.openxmlformats.org/officeDocument/2006/relationships/hyperlink" Target="https://job.cscec8b.com.cn/8bzj" TargetMode="External"/><Relationship Id="rId54" Type="http://schemas.openxmlformats.org/officeDocument/2006/relationships/hyperlink" Target="https://bhidi.zhiye.com/" TargetMode="External"/><Relationship Id="rId55" Type="http://schemas.openxmlformats.org/officeDocument/2006/relationships/hyperlink" Target="https://bhidi.powerchina.cn/col/col10127/art/2026/art_b9615884a96342c0811752ba7264e0d1.html" TargetMode="External"/><Relationship Id="rId56" Type="http://schemas.openxmlformats.org/officeDocument/2006/relationships/hyperlink" Target="https://job.cscec8b.com.cn/83" TargetMode="External"/><Relationship Id="rId57" Type="http://schemas.openxmlformats.org/officeDocument/2006/relationships/hyperlink" Target="https://job.cscec8b.com.cn/81" TargetMode="External"/><Relationship Id="rId58" Type="http://schemas.openxmlformats.org/officeDocument/2006/relationships/hyperlink" Target="https://job.cscec8b.com.cn/84" TargetMode="External"/><Relationship Id="rId59" Type="http://schemas.openxmlformats.org/officeDocument/2006/relationships/hyperlink" Target="https://zhaopin.ccccltd.cn/custom/index" TargetMode="External"/><Relationship Id="rId60" Type="http://schemas.openxmlformats.org/officeDocument/2006/relationships/hyperlink" Target="https://ccccltd.zhiye.com/custom/zpgg?hideMenu=1" TargetMode="External"/><Relationship Id="rId61" Type="http://schemas.openxmlformats.org/officeDocument/2006/relationships/hyperlink" Target="https://www.ncss.cn/student/jobs/BbViVFgZsog3EZ9rUU3Yfh/detail.html" TargetMode="External"/><Relationship Id="rId62" Type="http://schemas.openxmlformats.org/officeDocument/2006/relationships/hyperlink" Target="http://www.cribc.com/rlzy/xyzp/" TargetMode="External"/><Relationship Id="rId63" Type="http://schemas.openxmlformats.org/officeDocument/2006/relationships/hyperlink" Target="https://gangyan.zhiye.com/campus" TargetMode="External"/><Relationship Id="rId64" Type="http://schemas.openxmlformats.org/officeDocument/2006/relationships/hyperlink" Target="https://www.brdi.com.cn/list/49.html" TargetMode="External"/><Relationship Id="rId65" Type="http://schemas.openxmlformats.org/officeDocument/2006/relationships/hyperlink" Target="http://www.crbbg.com/rlzy/rczp.htm" TargetMode="External"/><Relationship Id="rId66" Type="http://schemas.openxmlformats.org/officeDocument/2006/relationships/hyperlink" Target="https://ceec.iguopin.com/job" TargetMode="External"/><Relationship Id="rId67" Type="http://schemas.openxmlformats.org/officeDocument/2006/relationships/hyperlink" Target="https://cnbmjob.iguopin.com/notice" TargetMode="External"/><Relationship Id="rId68" Type="http://schemas.openxmlformats.org/officeDocument/2006/relationships/hyperlink" Target="https://cnbmjob.iguopin.com/job" TargetMode="External"/><Relationship Id="rId69" Type="http://schemas.openxmlformats.org/officeDocument/2006/relationships/hyperlink" Target="https://cscec.iguopin.com/job-campus" TargetMode="External"/><Relationship Id="rId70" Type="http://schemas.openxmlformats.org/officeDocument/2006/relationships/hyperlink" Target="https://cscec1b.zhiye.com/xiaoyuan" TargetMode="External"/><Relationship Id="rId71" Type="http://schemas.openxmlformats.org/officeDocument/2006/relationships/hyperlink" Target="https://campus.iguopin.com/index.php?a=comshow&amp;c=jobs&amp;id=3690&amp;m=mobile" TargetMode="External"/><Relationship Id="rId72" Type="http://schemas.openxmlformats.org/officeDocument/2006/relationships/hyperlink" Target="https://minmetals.iguopin.com/job" TargetMode="External"/><Relationship Id="rId73" Type="http://schemas.openxmlformats.org/officeDocument/2006/relationships/hyperlink" Target="https://campus.iguopin.com/index.php?a=comshow&amp;c=Jobs&amp;id=1408&amp;m=Mobile" TargetMode="External"/><Relationship Id="rId74" Type="http://schemas.openxmlformats.org/officeDocument/2006/relationships/hyperlink" Target="https://sdic1.iguopin.com/notice" TargetMode="External"/><Relationship Id="rId75" Type="http://schemas.openxmlformats.org/officeDocument/2006/relationships/hyperlink" Target="https://www.crec.cn/zttzjt/rlzy/zpxx/2026100816145396264/index.html" TargetMode="External"/><Relationship Id="rId76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fzmtr.com/html/fzdt/zpgg/index.html" TargetMode="External"/><Relationship Id="rId2" Type="http://schemas.openxmlformats.org/officeDocument/2006/relationships/hyperlink" Target="https://campus.iguopin.com/index.php?a=com_show&amp;c=jobs&amp;id=1313&amp;m=" TargetMode="External"/><Relationship Id="rId3" Type="http://schemas.openxmlformats.org/officeDocument/2006/relationships/hyperlink" Target="https://www.iguopin.com/company?id=10685287266428509" TargetMode="External"/><Relationship Id="rId4" Type="http://schemas.openxmlformats.org/officeDocument/2006/relationships/hyperlink" Target="https://3bhn.cscec.com/" TargetMode="External"/><Relationship Id="rId5" Type="http://schemas.openxmlformats.org/officeDocument/2006/relationships/hyperlink" Target="http://www.jkec.com.cn/index.html" TargetMode="External"/><Relationship Id="rId6" Type="http://schemas.openxmlformats.org/officeDocument/2006/relationships/hyperlink" Target="https://www.iguopin.com/company?id=10685380531105433" TargetMode="External"/><Relationship Id="rId7" Type="http://schemas.openxmlformats.org/officeDocument/2006/relationships/hyperlink" Target="https://www.iguopin.com/company?id=10685380228402071" TargetMode="External"/><Relationship Id="rId8" Type="http://schemas.openxmlformats.org/officeDocument/2006/relationships/hyperlink" Target="https://jsjkdx.jchc.cn/portal/list/index/id/18.html" TargetMode="External"/><Relationship Id="rId9" Type="http://schemas.openxmlformats.org/officeDocument/2006/relationships/hyperlink" Target="http://www.cdg.com.cn/articleDetailV2/1166" TargetMode="External"/><Relationship Id="rId10" Type="http://schemas.openxmlformats.org/officeDocument/2006/relationships/hyperlink" Target="https://www.jsti.com/" TargetMode="External"/><Relationship Id="rId11" Type="http://schemas.openxmlformats.org/officeDocument/2006/relationships/hyperlink" Target="https://www.qd-metro.com/recruit.php" TargetMode="External"/><Relationship Id="rId12" Type="http://schemas.openxmlformats.org/officeDocument/2006/relationships/hyperlink" Target="https://www.iguopin.com/company?id=10685385065949955" TargetMode="External"/><Relationship Id="rId13" Type="http://schemas.openxmlformats.org/officeDocument/2006/relationships/hyperlink" Target="https://www.crcc.cn/col/col1643/art/2026/art_564131610.html" TargetMode="External"/><Relationship Id="rId14" Type="http://schemas.openxmlformats.org/officeDocument/2006/relationships/hyperlink" Target="https://bgigc.zhiye.com/Campus" TargetMode="External"/><Relationship Id="rId15" Type="http://schemas.openxmlformats.org/officeDocument/2006/relationships/hyperlink" Target="https://www.bmedi.cn/" TargetMode="External"/><Relationship Id="rId16" Type="http://schemas.openxmlformats.org/officeDocument/2006/relationships/hyperlink" Target="http://job.sinopec.com/" TargetMode="External"/><Relationship Id="rId17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cscec.iguopin.com/job-campus" TargetMode="External"/><Relationship Id="rId2" Type="http://schemas.openxmlformats.org/officeDocument/2006/relationships/hyperlink" Target="https://zhaopin.ccccltd.cn/custom/index" TargetMode="External"/><Relationship Id="rId3" Type="http://schemas.openxmlformats.org/officeDocument/2006/relationships/hyperlink" Target="https://www.crec.cn/" TargetMode="External"/><Relationship Id="rId4" Type="http://schemas.openxmlformats.org/officeDocument/2006/relationships/hyperlink" Target="https://www.crcc.cn/" TargetMode="External"/><Relationship Id="rId5" Type="http://schemas.openxmlformats.org/officeDocument/2006/relationships/hyperlink" Target="https://ceec.iguopin.com/job" TargetMode="External"/><Relationship Id="rId6" Type="http://schemas.openxmlformats.org/officeDocument/2006/relationships/hyperlink" Target="https://minmetals.iguopin.com/job" TargetMode="External"/><Relationship Id="rId7" Type="http://schemas.openxmlformats.org/officeDocument/2006/relationships/hyperlink" Target="https://cnbmjob.iguopin.com/notice" TargetMode="External"/><Relationship Id="rId8" Type="http://schemas.openxmlformats.org/officeDocument/2006/relationships/hyperlink" Target="https://cmhk.zhiye.com/custom/xiaoyuan?hideAll=true" TargetMode="External"/><Relationship Id="rId9" Type="http://schemas.openxmlformats.org/officeDocument/2006/relationships/hyperlink" Target="https://cujiuye.iguopin.com/" TargetMode="External"/><Relationship Id="rId10" Type="http://schemas.openxmlformats.org/officeDocument/2006/relationships/hyperlink" Target="https://xiaoyuan.iguopin.com/?m=Mobile" TargetMode="External"/><Relationship Id="rId11" Type="http://schemas.openxmlformats.org/officeDocument/2006/relationships/hyperlink" Target="https://www.ncss.cn/student/24365" TargetMode="External"/><Relationship Id="rId12" Type="http://schemas.openxmlformats.org/officeDocument/2006/relationships/hyperlink" Target="https://bys.hqu.edu.cn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90"/>
  </cols>
  <sheetData>
    <row r="1" customFormat="false" ht="19.4" hidden="false" customHeight="false" outlineLevel="0" collapsed="false">
      <c r="A1" s="1" t="s">
        <v>0</v>
      </c>
      <c r="B1" s="1"/>
      <c r="C1" s="1"/>
    </row>
    <row r="3" customFormat="false" ht="17.25" hidden="false" customHeight="true" outlineLevel="0" collapsed="false">
      <c r="A3" s="2" t="s">
        <v>1</v>
      </c>
      <c r="B3" s="3" t="s">
        <v>2</v>
      </c>
      <c r="C3" s="3"/>
    </row>
    <row r="4" customFormat="false" ht="17.25" hidden="false" customHeight="true" outlineLevel="0" collapsed="false">
      <c r="A4" s="2" t="s">
        <v>3</v>
      </c>
      <c r="B4" s="3" t="s">
        <v>4</v>
      </c>
      <c r="C4" s="3"/>
    </row>
    <row r="5" customFormat="false" ht="17.25" hidden="false" customHeight="true" outlineLevel="0" collapsed="false">
      <c r="A5" s="2" t="s">
        <v>5</v>
      </c>
      <c r="B5" s="4" t="s">
        <v>6</v>
      </c>
      <c r="C5" s="4"/>
    </row>
    <row r="6" customFormat="false" ht="30.75" hidden="false" customHeight="true" outlineLevel="0" collapsed="false">
      <c r="A6" s="2" t="s">
        <v>7</v>
      </c>
      <c r="B6" s="3" t="s">
        <v>8</v>
      </c>
      <c r="C6" s="3"/>
    </row>
    <row r="8" customFormat="false" ht="15" hidden="false" customHeight="false" outlineLevel="0" collapsed="false">
      <c r="A8" s="5" t="s">
        <v>9</v>
      </c>
      <c r="B8" s="5" t="s">
        <v>10</v>
      </c>
      <c r="C8" s="5" t="s">
        <v>11</v>
      </c>
    </row>
    <row r="9" customFormat="false" ht="15" hidden="false" customHeight="false" outlineLevel="0" collapsed="false">
      <c r="A9" s="6" t="s">
        <v>12</v>
      </c>
      <c r="B9" s="7" t="n">
        <f aca="false">COUNTA(官网可投递!E4:E58)</f>
        <v>55</v>
      </c>
      <c r="C9" s="6" t="s">
        <v>13</v>
      </c>
    </row>
    <row r="10" customFormat="false" ht="15" hidden="false" customHeight="false" outlineLevel="0" collapsed="false">
      <c r="A10" s="6" t="s">
        <v>14</v>
      </c>
      <c r="B10" s="7" t="n">
        <f aca="false">COUNTIF(官网可投递!B4:B58,"A 官网已见2027届")</f>
        <v>30</v>
      </c>
      <c r="C10" s="6" t="s">
        <v>15</v>
      </c>
    </row>
    <row r="11" customFormat="false" ht="15" hidden="false" customHeight="false" outlineLevel="0" collapsed="false">
      <c r="A11" s="6" t="s">
        <v>16</v>
      </c>
      <c r="B11" s="7" t="n">
        <f aca="false">COUNTIF(官网可投递!B4:B58,"B 官方网申入口")</f>
        <v>25</v>
      </c>
      <c r="C11" s="6" t="s">
        <v>17</v>
      </c>
    </row>
    <row r="12" customFormat="false" ht="15" hidden="false" customHeight="false" outlineLevel="0" collapsed="false">
      <c r="A12" s="6" t="s">
        <v>18</v>
      </c>
      <c r="B12" s="7" t="n">
        <f aca="false">COUNTIF(官网可投递!O4:O58,"★★★")</f>
        <v>19</v>
      </c>
      <c r="C12" s="6" t="s">
        <v>19</v>
      </c>
    </row>
    <row r="13" customFormat="false" ht="15" hidden="false" customHeight="false" outlineLevel="0" collapsed="false">
      <c r="A13" s="6" t="s">
        <v>20</v>
      </c>
      <c r="B13" s="7" t="n">
        <f aca="false">COUNTA(官网入口·27届待发布!D4:D19)</f>
        <v>16</v>
      </c>
      <c r="C13" s="6" t="s">
        <v>21</v>
      </c>
    </row>
    <row r="15" customFormat="false" ht="15" hidden="false" customHeight="false" outlineLevel="0" collapsed="false">
      <c r="A15" s="8" t="s">
        <v>22</v>
      </c>
    </row>
    <row r="16" customFormat="false" ht="30.75" hidden="false" customHeight="true" outlineLevel="0" collapsed="false">
      <c r="A16" s="4" t="s">
        <v>23</v>
      </c>
      <c r="B16" s="4"/>
      <c r="C16" s="4"/>
    </row>
    <row r="17" customFormat="false" ht="17.25" hidden="false" customHeight="true" outlineLevel="0" collapsed="false">
      <c r="A17" s="4" t="s">
        <v>24</v>
      </c>
      <c r="B17" s="4"/>
      <c r="C17" s="4"/>
    </row>
    <row r="18" customFormat="false" ht="17.25" hidden="false" customHeight="true" outlineLevel="0" collapsed="false">
      <c r="A18" s="4" t="s">
        <v>25</v>
      </c>
      <c r="B18" s="4"/>
      <c r="C18" s="4"/>
    </row>
    <row r="19" customFormat="false" ht="17.25" hidden="false" customHeight="true" outlineLevel="0" collapsed="false">
      <c r="A19" s="4" t="s">
        <v>26</v>
      </c>
      <c r="B19" s="4"/>
      <c r="C19" s="4"/>
    </row>
    <row r="20" customFormat="false" ht="17.25" hidden="false" customHeight="true" outlineLevel="0" collapsed="false">
      <c r="A20" s="4" t="s">
        <v>27</v>
      </c>
      <c r="B20" s="4"/>
      <c r="C20" s="4"/>
    </row>
    <row r="21" customFormat="false" ht="17.25" hidden="false" customHeight="true" outlineLevel="0" collapsed="false">
      <c r="A21" s="4" t="s">
        <v>28</v>
      </c>
      <c r="B21" s="4"/>
      <c r="C21" s="4"/>
    </row>
    <row r="22" customFormat="false" ht="30.75" hidden="false" customHeight="true" outlineLevel="0" collapsed="false">
      <c r="A22" s="4" t="s">
        <v>29</v>
      </c>
      <c r="B22" s="4"/>
      <c r="C22" s="4"/>
    </row>
    <row r="23" customFormat="false" ht="17.25" hidden="false" customHeight="true" outlineLevel="0" collapsed="false">
      <c r="A23" s="4" t="s">
        <v>30</v>
      </c>
      <c r="B23" s="4"/>
      <c r="C23" s="4"/>
    </row>
  </sheetData>
  <mergeCells count="13">
    <mergeCell ref="A1:C1"/>
    <mergeCell ref="B3:C3"/>
    <mergeCell ref="B4:C4"/>
    <mergeCell ref="B5:C5"/>
    <mergeCell ref="B6:C6"/>
    <mergeCell ref="A16:C16"/>
    <mergeCell ref="A17:C17"/>
    <mergeCell ref="A18:C18"/>
    <mergeCell ref="A19:C19"/>
    <mergeCell ref="A20:C20"/>
    <mergeCell ref="A21:C21"/>
    <mergeCell ref="A22:C22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44"/>
    <col collapsed="false" customWidth="true" hidden="false" outlineLevel="0" max="9" min="9" style="0" width="40"/>
    <col collapsed="false" customWidth="true" hidden="false" outlineLevel="0" max="10" min="10" style="0" width="52"/>
    <col collapsed="false" customWidth="true" hidden="false" outlineLevel="0" max="11" min="11" style="0" width="22"/>
    <col collapsed="false" customWidth="true" hidden="false" outlineLevel="0" max="13" min="12" style="0" width="11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32"/>
  </cols>
  <sheetData>
    <row r="1" customFormat="false" ht="24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42" hidden="false" customHeight="true" outlineLevel="0" collapsed="false">
      <c r="A2" s="9" t="s">
        <v>32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customFormat="false" ht="30" hidden="false" customHeight="true" outlineLevel="0" collapsed="false">
      <c r="A3" s="5" t="s">
        <v>33</v>
      </c>
      <c r="B3" s="5" t="s">
        <v>34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  <c r="H3" s="5" t="s">
        <v>40</v>
      </c>
      <c r="I3" s="5" t="s">
        <v>41</v>
      </c>
      <c r="J3" s="5" t="s">
        <v>42</v>
      </c>
      <c r="K3" s="5" t="s">
        <v>43</v>
      </c>
      <c r="L3" s="5" t="s">
        <v>44</v>
      </c>
      <c r="M3" s="5" t="s">
        <v>45</v>
      </c>
      <c r="N3" s="5" t="s">
        <v>46</v>
      </c>
      <c r="O3" s="5" t="s">
        <v>47</v>
      </c>
      <c r="P3" s="5" t="s">
        <v>48</v>
      </c>
    </row>
    <row r="4" customFormat="false" ht="55.5" hidden="false" customHeight="true" outlineLevel="0" collapsed="false">
      <c r="A4" s="7" t="n">
        <v>1</v>
      </c>
      <c r="B4" s="10" t="s">
        <v>49</v>
      </c>
      <c r="C4" s="6" t="s">
        <v>50</v>
      </c>
      <c r="D4" s="6" t="s">
        <v>51</v>
      </c>
      <c r="E4" s="6" t="s">
        <v>52</v>
      </c>
      <c r="F4" s="6" t="s">
        <v>53</v>
      </c>
      <c r="G4" s="6" t="s">
        <v>54</v>
      </c>
      <c r="H4" s="11" t="s">
        <v>55</v>
      </c>
      <c r="I4" s="6"/>
      <c r="J4" s="6" t="s">
        <v>56</v>
      </c>
      <c r="K4" s="6" t="s">
        <v>57</v>
      </c>
      <c r="L4" s="12"/>
      <c r="M4" s="13" t="s">
        <v>58</v>
      </c>
      <c r="N4" s="14"/>
      <c r="O4" s="15" t="s">
        <v>59</v>
      </c>
      <c r="P4" s="6" t="s">
        <v>60</v>
      </c>
    </row>
    <row r="5" customFormat="false" ht="28.5" hidden="false" customHeight="true" outlineLevel="0" collapsed="false">
      <c r="A5" s="7" t="n">
        <v>2</v>
      </c>
      <c r="B5" s="10" t="s">
        <v>49</v>
      </c>
      <c r="C5" s="6" t="s">
        <v>50</v>
      </c>
      <c r="D5" s="6" t="s">
        <v>51</v>
      </c>
      <c r="E5" s="6" t="s">
        <v>61</v>
      </c>
      <c r="F5" s="6" t="s">
        <v>62</v>
      </c>
      <c r="G5" s="6" t="s">
        <v>63</v>
      </c>
      <c r="H5" s="11" t="s">
        <v>64</v>
      </c>
      <c r="I5" s="6"/>
      <c r="J5" s="6" t="s">
        <v>65</v>
      </c>
      <c r="K5" s="6" t="s">
        <v>66</v>
      </c>
      <c r="L5" s="12"/>
      <c r="M5" s="13" t="s">
        <v>58</v>
      </c>
      <c r="N5" s="14"/>
      <c r="O5" s="15" t="s">
        <v>59</v>
      </c>
      <c r="P5" s="6" t="s">
        <v>67</v>
      </c>
    </row>
    <row r="6" customFormat="false" ht="28.5" hidden="false" customHeight="true" outlineLevel="0" collapsed="false">
      <c r="A6" s="7" t="n">
        <v>3</v>
      </c>
      <c r="B6" s="10" t="s">
        <v>49</v>
      </c>
      <c r="C6" s="6" t="s">
        <v>50</v>
      </c>
      <c r="D6" s="6" t="s">
        <v>68</v>
      </c>
      <c r="E6" s="6" t="s">
        <v>69</v>
      </c>
      <c r="F6" s="6" t="s">
        <v>70</v>
      </c>
      <c r="G6" s="6" t="s">
        <v>54</v>
      </c>
      <c r="H6" s="11" t="s">
        <v>71</v>
      </c>
      <c r="I6" s="11" t="s">
        <v>72</v>
      </c>
      <c r="J6" s="6" t="s">
        <v>73</v>
      </c>
      <c r="K6" s="6" t="s">
        <v>66</v>
      </c>
      <c r="L6" s="12"/>
      <c r="M6" s="13" t="s">
        <v>58</v>
      </c>
      <c r="N6" s="14"/>
      <c r="O6" s="15" t="s">
        <v>59</v>
      </c>
      <c r="P6" s="6" t="s">
        <v>74</v>
      </c>
    </row>
    <row r="7" customFormat="false" ht="55.5" hidden="false" customHeight="true" outlineLevel="0" collapsed="false">
      <c r="A7" s="7" t="n">
        <v>4</v>
      </c>
      <c r="B7" s="16" t="s">
        <v>75</v>
      </c>
      <c r="C7" s="6" t="s">
        <v>50</v>
      </c>
      <c r="D7" s="6" t="s">
        <v>51</v>
      </c>
      <c r="E7" s="6" t="s">
        <v>76</v>
      </c>
      <c r="F7" s="6" t="s">
        <v>53</v>
      </c>
      <c r="G7" s="6" t="s">
        <v>54</v>
      </c>
      <c r="H7" s="11" t="s">
        <v>77</v>
      </c>
      <c r="I7" s="6"/>
      <c r="J7" s="17" t="s">
        <v>78</v>
      </c>
      <c r="K7" s="6" t="s">
        <v>66</v>
      </c>
      <c r="L7" s="12"/>
      <c r="M7" s="13" t="s">
        <v>58</v>
      </c>
      <c r="N7" s="14"/>
      <c r="O7" s="15" t="s">
        <v>79</v>
      </c>
      <c r="P7" s="6" t="s">
        <v>80</v>
      </c>
    </row>
    <row r="8" customFormat="false" ht="42" hidden="false" customHeight="true" outlineLevel="0" collapsed="false">
      <c r="A8" s="7" t="n">
        <v>5</v>
      </c>
      <c r="B8" s="16" t="s">
        <v>75</v>
      </c>
      <c r="C8" s="6" t="s">
        <v>50</v>
      </c>
      <c r="D8" s="6" t="s">
        <v>51</v>
      </c>
      <c r="E8" s="6" t="s">
        <v>81</v>
      </c>
      <c r="F8" s="6" t="s">
        <v>82</v>
      </c>
      <c r="G8" s="6" t="s">
        <v>54</v>
      </c>
      <c r="H8" s="11" t="s">
        <v>83</v>
      </c>
      <c r="I8" s="6"/>
      <c r="J8" s="6" t="s">
        <v>84</v>
      </c>
      <c r="K8" s="6" t="s">
        <v>66</v>
      </c>
      <c r="L8" s="12"/>
      <c r="M8" s="13" t="s">
        <v>58</v>
      </c>
      <c r="N8" s="14"/>
      <c r="O8" s="15" t="s">
        <v>79</v>
      </c>
      <c r="P8" s="6" t="s">
        <v>85</v>
      </c>
    </row>
    <row r="9" customFormat="false" ht="28.5" hidden="false" customHeight="true" outlineLevel="0" collapsed="false">
      <c r="A9" s="7" t="n">
        <v>6</v>
      </c>
      <c r="B9" s="16" t="s">
        <v>75</v>
      </c>
      <c r="C9" s="6" t="s">
        <v>50</v>
      </c>
      <c r="D9" s="6" t="s">
        <v>86</v>
      </c>
      <c r="E9" s="6" t="s">
        <v>87</v>
      </c>
      <c r="F9" s="6" t="s">
        <v>88</v>
      </c>
      <c r="G9" s="6" t="s">
        <v>89</v>
      </c>
      <c r="H9" s="11" t="s">
        <v>90</v>
      </c>
      <c r="I9" s="6"/>
      <c r="J9" s="6" t="s">
        <v>91</v>
      </c>
      <c r="K9" s="6" t="s">
        <v>92</v>
      </c>
      <c r="L9" s="12"/>
      <c r="M9" s="13" t="s">
        <v>58</v>
      </c>
      <c r="N9" s="14"/>
      <c r="O9" s="15" t="s">
        <v>79</v>
      </c>
      <c r="P9" s="6" t="s">
        <v>93</v>
      </c>
    </row>
    <row r="10" customFormat="false" ht="28.5" hidden="false" customHeight="true" outlineLevel="0" collapsed="false">
      <c r="A10" s="7" t="n">
        <v>7</v>
      </c>
      <c r="B10" s="10" t="s">
        <v>49</v>
      </c>
      <c r="C10" s="6" t="s">
        <v>50</v>
      </c>
      <c r="D10" s="6" t="s">
        <v>94</v>
      </c>
      <c r="E10" s="6" t="s">
        <v>95</v>
      </c>
      <c r="F10" s="6" t="s">
        <v>53</v>
      </c>
      <c r="G10" s="6" t="s">
        <v>54</v>
      </c>
      <c r="H10" s="11" t="s">
        <v>96</v>
      </c>
      <c r="I10" s="11" t="s">
        <v>97</v>
      </c>
      <c r="J10" s="6" t="s">
        <v>98</v>
      </c>
      <c r="K10" s="6" t="s">
        <v>66</v>
      </c>
      <c r="L10" s="12"/>
      <c r="M10" s="13" t="s">
        <v>58</v>
      </c>
      <c r="N10" s="14"/>
      <c r="O10" s="15" t="s">
        <v>79</v>
      </c>
      <c r="P10" s="6" t="s">
        <v>99</v>
      </c>
    </row>
    <row r="11" customFormat="false" ht="28.5" hidden="false" customHeight="true" outlineLevel="0" collapsed="false">
      <c r="A11" s="7" t="n">
        <v>8</v>
      </c>
      <c r="B11" s="10" t="s">
        <v>49</v>
      </c>
      <c r="C11" s="6" t="s">
        <v>50</v>
      </c>
      <c r="D11" s="6" t="s">
        <v>100</v>
      </c>
      <c r="E11" s="6" t="s">
        <v>101</v>
      </c>
      <c r="F11" s="6" t="s">
        <v>102</v>
      </c>
      <c r="G11" s="6" t="s">
        <v>103</v>
      </c>
      <c r="H11" s="11" t="s">
        <v>104</v>
      </c>
      <c r="I11" s="6"/>
      <c r="J11" s="6" t="s">
        <v>105</v>
      </c>
      <c r="K11" s="6" t="s">
        <v>66</v>
      </c>
      <c r="L11" s="12"/>
      <c r="M11" s="13" t="s">
        <v>58</v>
      </c>
      <c r="N11" s="14"/>
      <c r="O11" s="15" t="s">
        <v>79</v>
      </c>
      <c r="P11" s="6" t="s">
        <v>106</v>
      </c>
    </row>
    <row r="12" customFormat="false" ht="28.5" hidden="false" customHeight="true" outlineLevel="0" collapsed="false">
      <c r="A12" s="7" t="n">
        <v>9</v>
      </c>
      <c r="B12" s="10" t="s">
        <v>49</v>
      </c>
      <c r="C12" s="6" t="s">
        <v>50</v>
      </c>
      <c r="D12" s="6" t="s">
        <v>100</v>
      </c>
      <c r="E12" s="6" t="s">
        <v>107</v>
      </c>
      <c r="F12" s="6" t="s">
        <v>108</v>
      </c>
      <c r="G12" s="6" t="s">
        <v>103</v>
      </c>
      <c r="H12" s="11" t="s">
        <v>109</v>
      </c>
      <c r="I12" s="11" t="s">
        <v>110</v>
      </c>
      <c r="J12" s="6" t="s">
        <v>111</v>
      </c>
      <c r="K12" s="6" t="s">
        <v>112</v>
      </c>
      <c r="L12" s="12"/>
      <c r="M12" s="13" t="s">
        <v>58</v>
      </c>
      <c r="N12" s="14"/>
      <c r="O12" s="15" t="s">
        <v>79</v>
      </c>
      <c r="P12" s="6" t="s">
        <v>113</v>
      </c>
    </row>
    <row r="13" customFormat="false" ht="28.5" hidden="false" customHeight="true" outlineLevel="0" collapsed="false">
      <c r="A13" s="7" t="n">
        <v>10</v>
      </c>
      <c r="B13" s="10" t="s">
        <v>49</v>
      </c>
      <c r="C13" s="6" t="s">
        <v>50</v>
      </c>
      <c r="D13" s="6" t="s">
        <v>100</v>
      </c>
      <c r="E13" s="6" t="s">
        <v>114</v>
      </c>
      <c r="F13" s="6" t="s">
        <v>115</v>
      </c>
      <c r="G13" s="6" t="s">
        <v>54</v>
      </c>
      <c r="H13" s="11" t="s">
        <v>116</v>
      </c>
      <c r="I13" s="6"/>
      <c r="J13" s="6" t="s">
        <v>117</v>
      </c>
      <c r="K13" s="6" t="s">
        <v>66</v>
      </c>
      <c r="L13" s="12" t="n">
        <v>46324</v>
      </c>
      <c r="M13" s="13" t="str">
        <f aca="true">IF(L13&lt;TODAY(),"已截止",IF(L13=TODAY(),"今日截止",IF(L13-TODAY()&lt;=7,"7天内截止","进行中")))</f>
        <v>进行中</v>
      </c>
      <c r="N13" s="14" t="n">
        <f aca="true">IF(ISNUMBER(L13),L13-TODAY(),"")</f>
        <v>8</v>
      </c>
      <c r="O13" s="15" t="s">
        <v>118</v>
      </c>
      <c r="P13" s="6" t="s">
        <v>119</v>
      </c>
    </row>
    <row r="14" customFormat="false" ht="28.5" hidden="false" customHeight="true" outlineLevel="0" collapsed="false">
      <c r="A14" s="7" t="n">
        <v>11</v>
      </c>
      <c r="B14" s="10" t="s">
        <v>49</v>
      </c>
      <c r="C14" s="6" t="s">
        <v>50</v>
      </c>
      <c r="D14" s="6" t="s">
        <v>51</v>
      </c>
      <c r="E14" s="6" t="s">
        <v>120</v>
      </c>
      <c r="F14" s="6" t="s">
        <v>53</v>
      </c>
      <c r="G14" s="6" t="s">
        <v>54</v>
      </c>
      <c r="H14" s="11" t="s">
        <v>121</v>
      </c>
      <c r="I14" s="6"/>
      <c r="J14" s="6" t="s">
        <v>122</v>
      </c>
      <c r="K14" s="6" t="s">
        <v>66</v>
      </c>
      <c r="L14" s="12"/>
      <c r="M14" s="13" t="s">
        <v>58</v>
      </c>
      <c r="N14" s="14"/>
      <c r="O14" s="15" t="s">
        <v>118</v>
      </c>
      <c r="P14" s="6" t="s">
        <v>123</v>
      </c>
    </row>
    <row r="15" customFormat="false" ht="28.5" hidden="false" customHeight="true" outlineLevel="0" collapsed="false">
      <c r="A15" s="7" t="n">
        <v>12</v>
      </c>
      <c r="B15" s="16" t="s">
        <v>75</v>
      </c>
      <c r="C15" s="6" t="s">
        <v>124</v>
      </c>
      <c r="D15" s="6" t="s">
        <v>125</v>
      </c>
      <c r="E15" s="6" t="s">
        <v>126</v>
      </c>
      <c r="F15" s="6" t="s">
        <v>127</v>
      </c>
      <c r="G15" s="6" t="s">
        <v>128</v>
      </c>
      <c r="H15" s="11" t="s">
        <v>129</v>
      </c>
      <c r="I15" s="6"/>
      <c r="J15" s="17" t="s">
        <v>130</v>
      </c>
      <c r="K15" s="6" t="s">
        <v>131</v>
      </c>
      <c r="L15" s="12"/>
      <c r="M15" s="13" t="s">
        <v>58</v>
      </c>
      <c r="N15" s="14"/>
      <c r="O15" s="15" t="s">
        <v>59</v>
      </c>
      <c r="P15" s="6" t="s">
        <v>132</v>
      </c>
    </row>
    <row r="16" customFormat="false" ht="42" hidden="false" customHeight="true" outlineLevel="0" collapsed="false">
      <c r="A16" s="7" t="n">
        <v>13</v>
      </c>
      <c r="B16" s="16" t="s">
        <v>75</v>
      </c>
      <c r="C16" s="6" t="s">
        <v>124</v>
      </c>
      <c r="D16" s="6" t="s">
        <v>133</v>
      </c>
      <c r="E16" s="6" t="s">
        <v>134</v>
      </c>
      <c r="F16" s="6" t="s">
        <v>135</v>
      </c>
      <c r="G16" s="6" t="s">
        <v>136</v>
      </c>
      <c r="H16" s="11" t="s">
        <v>137</v>
      </c>
      <c r="I16" s="6"/>
      <c r="J16" s="6" t="s">
        <v>138</v>
      </c>
      <c r="K16" s="6" t="s">
        <v>139</v>
      </c>
      <c r="L16" s="12"/>
      <c r="M16" s="13" t="s">
        <v>58</v>
      </c>
      <c r="N16" s="14"/>
      <c r="O16" s="15" t="s">
        <v>59</v>
      </c>
      <c r="P16" s="6" t="s">
        <v>140</v>
      </c>
    </row>
    <row r="17" customFormat="false" ht="28.5" hidden="false" customHeight="true" outlineLevel="0" collapsed="false">
      <c r="A17" s="7" t="n">
        <v>14</v>
      </c>
      <c r="B17" s="16" t="s">
        <v>75</v>
      </c>
      <c r="C17" s="6" t="s">
        <v>124</v>
      </c>
      <c r="D17" s="6" t="s">
        <v>133</v>
      </c>
      <c r="E17" s="6" t="s">
        <v>141</v>
      </c>
      <c r="F17" s="6" t="s">
        <v>142</v>
      </c>
      <c r="G17" s="6" t="s">
        <v>103</v>
      </c>
      <c r="H17" s="11" t="s">
        <v>143</v>
      </c>
      <c r="I17" s="6"/>
      <c r="J17" s="6" t="s">
        <v>144</v>
      </c>
      <c r="K17" s="6" t="s">
        <v>145</v>
      </c>
      <c r="L17" s="12"/>
      <c r="M17" s="13" t="s">
        <v>58</v>
      </c>
      <c r="N17" s="14"/>
      <c r="O17" s="15" t="s">
        <v>59</v>
      </c>
      <c r="P17" s="6" t="s">
        <v>146</v>
      </c>
    </row>
    <row r="18" customFormat="false" ht="28.5" hidden="false" customHeight="true" outlineLevel="0" collapsed="false">
      <c r="A18" s="7" t="n">
        <v>15</v>
      </c>
      <c r="B18" s="10" t="s">
        <v>49</v>
      </c>
      <c r="C18" s="6" t="s">
        <v>124</v>
      </c>
      <c r="D18" s="6" t="s">
        <v>147</v>
      </c>
      <c r="E18" s="6" t="s">
        <v>148</v>
      </c>
      <c r="F18" s="6" t="s">
        <v>108</v>
      </c>
      <c r="G18" s="6" t="s">
        <v>103</v>
      </c>
      <c r="H18" s="11" t="s">
        <v>149</v>
      </c>
      <c r="I18" s="11" t="s">
        <v>150</v>
      </c>
      <c r="J18" s="6" t="s">
        <v>151</v>
      </c>
      <c r="K18" s="6" t="s">
        <v>152</v>
      </c>
      <c r="L18" s="12"/>
      <c r="M18" s="13" t="s">
        <v>58</v>
      </c>
      <c r="N18" s="14"/>
      <c r="O18" s="15" t="s">
        <v>59</v>
      </c>
      <c r="P18" s="6" t="s">
        <v>153</v>
      </c>
    </row>
    <row r="19" customFormat="false" ht="55.5" hidden="false" customHeight="true" outlineLevel="0" collapsed="false">
      <c r="A19" s="7" t="n">
        <v>16</v>
      </c>
      <c r="B19" s="10" t="s">
        <v>49</v>
      </c>
      <c r="C19" s="6" t="s">
        <v>124</v>
      </c>
      <c r="D19" s="6" t="s">
        <v>125</v>
      </c>
      <c r="E19" s="6" t="s">
        <v>154</v>
      </c>
      <c r="F19" s="6" t="s">
        <v>155</v>
      </c>
      <c r="G19" s="6" t="s">
        <v>103</v>
      </c>
      <c r="H19" s="11" t="s">
        <v>156</v>
      </c>
      <c r="I19" s="11" t="s">
        <v>157</v>
      </c>
      <c r="J19" s="6" t="s">
        <v>158</v>
      </c>
      <c r="K19" s="6" t="s">
        <v>159</v>
      </c>
      <c r="L19" s="12"/>
      <c r="M19" s="13" t="s">
        <v>58</v>
      </c>
      <c r="N19" s="14"/>
      <c r="O19" s="15" t="s">
        <v>59</v>
      </c>
      <c r="P19" s="6" t="s">
        <v>160</v>
      </c>
    </row>
    <row r="20" customFormat="false" ht="42" hidden="false" customHeight="true" outlineLevel="0" collapsed="false">
      <c r="A20" s="7" t="n">
        <v>17</v>
      </c>
      <c r="B20" s="10" t="s">
        <v>49</v>
      </c>
      <c r="C20" s="6" t="s">
        <v>124</v>
      </c>
      <c r="D20" s="6" t="s">
        <v>125</v>
      </c>
      <c r="E20" s="6" t="s">
        <v>161</v>
      </c>
      <c r="F20" s="6" t="s">
        <v>162</v>
      </c>
      <c r="G20" s="6" t="s">
        <v>163</v>
      </c>
      <c r="H20" s="11" t="s">
        <v>164</v>
      </c>
      <c r="I20" s="11" t="s">
        <v>165</v>
      </c>
      <c r="J20" s="6" t="s">
        <v>166</v>
      </c>
      <c r="K20" s="6" t="s">
        <v>167</v>
      </c>
      <c r="L20" s="12"/>
      <c r="M20" s="13" t="s">
        <v>58</v>
      </c>
      <c r="N20" s="14"/>
      <c r="O20" s="15" t="s">
        <v>59</v>
      </c>
      <c r="P20" s="6" t="s">
        <v>168</v>
      </c>
    </row>
    <row r="21" customFormat="false" ht="28.5" hidden="false" customHeight="true" outlineLevel="0" collapsed="false">
      <c r="A21" s="7" t="n">
        <v>18</v>
      </c>
      <c r="B21" s="10" t="s">
        <v>49</v>
      </c>
      <c r="C21" s="6" t="s">
        <v>124</v>
      </c>
      <c r="D21" s="6" t="s">
        <v>125</v>
      </c>
      <c r="E21" s="6" t="s">
        <v>169</v>
      </c>
      <c r="F21" s="6" t="s">
        <v>170</v>
      </c>
      <c r="G21" s="6" t="s">
        <v>54</v>
      </c>
      <c r="H21" s="11" t="s">
        <v>171</v>
      </c>
      <c r="I21" s="6"/>
      <c r="J21" s="6" t="s">
        <v>172</v>
      </c>
      <c r="K21" s="6" t="s">
        <v>145</v>
      </c>
      <c r="L21" s="12"/>
      <c r="M21" s="13" t="s">
        <v>58</v>
      </c>
      <c r="N21" s="14"/>
      <c r="O21" s="15" t="s">
        <v>59</v>
      </c>
      <c r="P21" s="6" t="s">
        <v>173</v>
      </c>
    </row>
    <row r="22" customFormat="false" ht="42" hidden="false" customHeight="true" outlineLevel="0" collapsed="false">
      <c r="A22" s="7" t="n">
        <v>19</v>
      </c>
      <c r="B22" s="16" t="s">
        <v>75</v>
      </c>
      <c r="C22" s="6" t="s">
        <v>124</v>
      </c>
      <c r="D22" s="6" t="s">
        <v>174</v>
      </c>
      <c r="E22" s="6" t="s">
        <v>175</v>
      </c>
      <c r="F22" s="6" t="s">
        <v>176</v>
      </c>
      <c r="G22" s="6" t="s">
        <v>103</v>
      </c>
      <c r="H22" s="11" t="s">
        <v>177</v>
      </c>
      <c r="I22" s="11" t="s">
        <v>178</v>
      </c>
      <c r="J22" s="17" t="s">
        <v>179</v>
      </c>
      <c r="K22" s="6" t="s">
        <v>180</v>
      </c>
      <c r="L22" s="12"/>
      <c r="M22" s="13" t="s">
        <v>58</v>
      </c>
      <c r="N22" s="14"/>
      <c r="O22" s="15" t="s">
        <v>79</v>
      </c>
      <c r="P22" s="6" t="s">
        <v>181</v>
      </c>
    </row>
    <row r="23" customFormat="false" ht="28.5" hidden="false" customHeight="true" outlineLevel="0" collapsed="false">
      <c r="A23" s="7" t="n">
        <v>20</v>
      </c>
      <c r="B23" s="16" t="s">
        <v>75</v>
      </c>
      <c r="C23" s="6" t="s">
        <v>124</v>
      </c>
      <c r="D23" s="6" t="s">
        <v>133</v>
      </c>
      <c r="E23" s="6" t="s">
        <v>182</v>
      </c>
      <c r="F23" s="6" t="s">
        <v>108</v>
      </c>
      <c r="G23" s="6" t="s">
        <v>103</v>
      </c>
      <c r="H23" s="11" t="s">
        <v>183</v>
      </c>
      <c r="I23" s="11" t="s">
        <v>184</v>
      </c>
      <c r="J23" s="6" t="s">
        <v>185</v>
      </c>
      <c r="K23" s="6" t="s">
        <v>66</v>
      </c>
      <c r="L23" s="12"/>
      <c r="M23" s="13" t="s">
        <v>58</v>
      </c>
      <c r="N23" s="14"/>
      <c r="O23" s="15" t="s">
        <v>79</v>
      </c>
      <c r="P23" s="6" t="s">
        <v>186</v>
      </c>
    </row>
    <row r="24" customFormat="false" ht="28.5" hidden="false" customHeight="true" outlineLevel="0" collapsed="false">
      <c r="A24" s="7" t="n">
        <v>21</v>
      </c>
      <c r="B24" s="16" t="s">
        <v>75</v>
      </c>
      <c r="C24" s="6" t="s">
        <v>124</v>
      </c>
      <c r="D24" s="6" t="s">
        <v>125</v>
      </c>
      <c r="E24" s="6" t="s">
        <v>187</v>
      </c>
      <c r="F24" s="6" t="s">
        <v>188</v>
      </c>
      <c r="G24" s="6" t="s">
        <v>103</v>
      </c>
      <c r="H24" s="11" t="s">
        <v>189</v>
      </c>
      <c r="I24" s="11" t="s">
        <v>157</v>
      </c>
      <c r="J24" s="6" t="s">
        <v>190</v>
      </c>
      <c r="K24" s="6" t="s">
        <v>191</v>
      </c>
      <c r="L24" s="12"/>
      <c r="M24" s="13" t="s">
        <v>58</v>
      </c>
      <c r="N24" s="14"/>
      <c r="O24" s="15" t="s">
        <v>79</v>
      </c>
      <c r="P24" s="6" t="s">
        <v>192</v>
      </c>
    </row>
    <row r="25" customFormat="false" ht="28.5" hidden="false" customHeight="true" outlineLevel="0" collapsed="false">
      <c r="A25" s="7" t="n">
        <v>22</v>
      </c>
      <c r="B25" s="16" t="s">
        <v>75</v>
      </c>
      <c r="C25" s="6" t="s">
        <v>124</v>
      </c>
      <c r="D25" s="6" t="s">
        <v>125</v>
      </c>
      <c r="E25" s="6" t="s">
        <v>193</v>
      </c>
      <c r="F25" s="6" t="s">
        <v>194</v>
      </c>
      <c r="G25" s="6" t="s">
        <v>54</v>
      </c>
      <c r="H25" s="11" t="s">
        <v>195</v>
      </c>
      <c r="I25" s="11" t="s">
        <v>196</v>
      </c>
      <c r="J25" s="17" t="s">
        <v>197</v>
      </c>
      <c r="K25" s="6" t="s">
        <v>66</v>
      </c>
      <c r="L25" s="12"/>
      <c r="M25" s="13" t="s">
        <v>58</v>
      </c>
      <c r="N25" s="14"/>
      <c r="O25" s="15" t="s">
        <v>79</v>
      </c>
      <c r="P25" s="6" t="s">
        <v>198</v>
      </c>
    </row>
    <row r="26" customFormat="false" ht="28.5" hidden="false" customHeight="true" outlineLevel="0" collapsed="false">
      <c r="A26" s="7" t="n">
        <v>23</v>
      </c>
      <c r="B26" s="16" t="s">
        <v>75</v>
      </c>
      <c r="C26" s="6" t="s">
        <v>124</v>
      </c>
      <c r="D26" s="6" t="s">
        <v>147</v>
      </c>
      <c r="E26" s="6" t="s">
        <v>199</v>
      </c>
      <c r="F26" s="6" t="s">
        <v>200</v>
      </c>
      <c r="G26" s="6" t="s">
        <v>103</v>
      </c>
      <c r="H26" s="11" t="s">
        <v>201</v>
      </c>
      <c r="I26" s="6"/>
      <c r="J26" s="6" t="s">
        <v>202</v>
      </c>
      <c r="K26" s="6" t="s">
        <v>66</v>
      </c>
      <c r="L26" s="12"/>
      <c r="M26" s="13" t="s">
        <v>58</v>
      </c>
      <c r="N26" s="14"/>
      <c r="O26" s="15" t="s">
        <v>79</v>
      </c>
      <c r="P26" s="6" t="s">
        <v>203</v>
      </c>
    </row>
    <row r="27" customFormat="false" ht="28.5" hidden="false" customHeight="true" outlineLevel="0" collapsed="false">
      <c r="A27" s="7" t="n">
        <v>24</v>
      </c>
      <c r="B27" s="16" t="s">
        <v>75</v>
      </c>
      <c r="C27" s="6" t="s">
        <v>124</v>
      </c>
      <c r="D27" s="6" t="s">
        <v>133</v>
      </c>
      <c r="E27" s="6" t="s">
        <v>204</v>
      </c>
      <c r="F27" s="6" t="s">
        <v>108</v>
      </c>
      <c r="G27" s="6" t="s">
        <v>103</v>
      </c>
      <c r="H27" s="11" t="s">
        <v>205</v>
      </c>
      <c r="I27" s="6"/>
      <c r="J27" s="17" t="s">
        <v>206</v>
      </c>
      <c r="K27" s="6" t="s">
        <v>66</v>
      </c>
      <c r="L27" s="12"/>
      <c r="M27" s="13" t="s">
        <v>58</v>
      </c>
      <c r="N27" s="14"/>
      <c r="O27" s="15" t="s">
        <v>79</v>
      </c>
      <c r="P27" s="6" t="s">
        <v>207</v>
      </c>
    </row>
    <row r="28" customFormat="false" ht="28.5" hidden="false" customHeight="true" outlineLevel="0" collapsed="false">
      <c r="A28" s="7" t="n">
        <v>25</v>
      </c>
      <c r="B28" s="16" t="s">
        <v>75</v>
      </c>
      <c r="C28" s="6" t="s">
        <v>124</v>
      </c>
      <c r="D28" s="6" t="s">
        <v>133</v>
      </c>
      <c r="E28" s="6" t="s">
        <v>208</v>
      </c>
      <c r="F28" s="6" t="s">
        <v>209</v>
      </c>
      <c r="G28" s="6" t="s">
        <v>103</v>
      </c>
      <c r="H28" s="11" t="s">
        <v>210</v>
      </c>
      <c r="I28" s="6"/>
      <c r="J28" s="17" t="s">
        <v>211</v>
      </c>
      <c r="K28" s="6" t="s">
        <v>66</v>
      </c>
      <c r="L28" s="12"/>
      <c r="M28" s="13" t="s">
        <v>58</v>
      </c>
      <c r="N28" s="14"/>
      <c r="O28" s="15" t="s">
        <v>118</v>
      </c>
      <c r="P28" s="6" t="s">
        <v>212</v>
      </c>
    </row>
    <row r="29" customFormat="false" ht="28.5" hidden="false" customHeight="true" outlineLevel="0" collapsed="false">
      <c r="A29" s="7" t="n">
        <v>26</v>
      </c>
      <c r="B29" s="16" t="s">
        <v>75</v>
      </c>
      <c r="C29" s="6" t="s">
        <v>124</v>
      </c>
      <c r="D29" s="6" t="s">
        <v>125</v>
      </c>
      <c r="E29" s="6" t="s">
        <v>213</v>
      </c>
      <c r="F29" s="6" t="s">
        <v>214</v>
      </c>
      <c r="G29" s="6" t="s">
        <v>103</v>
      </c>
      <c r="H29" s="11" t="s">
        <v>215</v>
      </c>
      <c r="I29" s="11" t="s">
        <v>216</v>
      </c>
      <c r="J29" s="6" t="s">
        <v>217</v>
      </c>
      <c r="K29" s="6" t="s">
        <v>66</v>
      </c>
      <c r="L29" s="12"/>
      <c r="M29" s="13" t="s">
        <v>58</v>
      </c>
      <c r="N29" s="14"/>
      <c r="O29" s="15" t="s">
        <v>118</v>
      </c>
      <c r="P29" s="6" t="s">
        <v>218</v>
      </c>
    </row>
    <row r="30" customFormat="false" ht="28.5" hidden="false" customHeight="true" outlineLevel="0" collapsed="false">
      <c r="A30" s="7" t="n">
        <v>27</v>
      </c>
      <c r="B30" s="10" t="s">
        <v>49</v>
      </c>
      <c r="C30" s="6" t="s">
        <v>219</v>
      </c>
      <c r="D30" s="6" t="s">
        <v>219</v>
      </c>
      <c r="E30" s="6" t="s">
        <v>220</v>
      </c>
      <c r="F30" s="6" t="s">
        <v>221</v>
      </c>
      <c r="G30" s="6" t="s">
        <v>222</v>
      </c>
      <c r="H30" s="11" t="s">
        <v>223</v>
      </c>
      <c r="I30" s="11" t="s">
        <v>224</v>
      </c>
      <c r="J30" s="6" t="s">
        <v>225</v>
      </c>
      <c r="K30" s="6" t="s">
        <v>226</v>
      </c>
      <c r="L30" s="12"/>
      <c r="M30" s="13" t="s">
        <v>58</v>
      </c>
      <c r="N30" s="14"/>
      <c r="O30" s="15" t="s">
        <v>59</v>
      </c>
      <c r="P30" s="6" t="s">
        <v>227</v>
      </c>
    </row>
    <row r="31" customFormat="false" ht="42" hidden="false" customHeight="true" outlineLevel="0" collapsed="false">
      <c r="A31" s="7" t="n">
        <v>28</v>
      </c>
      <c r="B31" s="16" t="s">
        <v>75</v>
      </c>
      <c r="C31" s="6" t="s">
        <v>219</v>
      </c>
      <c r="D31" s="6" t="s">
        <v>219</v>
      </c>
      <c r="E31" s="6" t="s">
        <v>228</v>
      </c>
      <c r="F31" s="6" t="s">
        <v>176</v>
      </c>
      <c r="G31" s="6" t="s">
        <v>103</v>
      </c>
      <c r="H31" s="11" t="s">
        <v>229</v>
      </c>
      <c r="I31" s="6"/>
      <c r="J31" s="17" t="s">
        <v>230</v>
      </c>
      <c r="K31" s="6" t="s">
        <v>231</v>
      </c>
      <c r="L31" s="12"/>
      <c r="M31" s="13" t="s">
        <v>58</v>
      </c>
      <c r="N31" s="14"/>
      <c r="O31" s="15" t="s">
        <v>79</v>
      </c>
      <c r="P31" s="6"/>
    </row>
    <row r="32" customFormat="false" ht="42" hidden="false" customHeight="true" outlineLevel="0" collapsed="false">
      <c r="A32" s="7" t="n">
        <v>29</v>
      </c>
      <c r="B32" s="16" t="s">
        <v>75</v>
      </c>
      <c r="C32" s="6" t="s">
        <v>219</v>
      </c>
      <c r="D32" s="6" t="s">
        <v>232</v>
      </c>
      <c r="E32" s="6" t="s">
        <v>233</v>
      </c>
      <c r="F32" s="6" t="s">
        <v>234</v>
      </c>
      <c r="G32" s="6" t="s">
        <v>103</v>
      </c>
      <c r="H32" s="11" t="s">
        <v>235</v>
      </c>
      <c r="I32" s="6"/>
      <c r="J32" s="17" t="s">
        <v>236</v>
      </c>
      <c r="K32" s="6" t="s">
        <v>237</v>
      </c>
      <c r="L32" s="12"/>
      <c r="M32" s="13" t="s">
        <v>58</v>
      </c>
      <c r="N32" s="14"/>
      <c r="O32" s="15" t="s">
        <v>79</v>
      </c>
      <c r="P32" s="6" t="s">
        <v>238</v>
      </c>
    </row>
    <row r="33" customFormat="false" ht="28.5" hidden="false" customHeight="true" outlineLevel="0" collapsed="false">
      <c r="A33" s="7" t="n">
        <v>30</v>
      </c>
      <c r="B33" s="10" t="s">
        <v>49</v>
      </c>
      <c r="C33" s="6" t="s">
        <v>219</v>
      </c>
      <c r="D33" s="6" t="s">
        <v>219</v>
      </c>
      <c r="E33" s="6" t="s">
        <v>239</v>
      </c>
      <c r="F33" s="6" t="s">
        <v>240</v>
      </c>
      <c r="G33" s="6" t="s">
        <v>54</v>
      </c>
      <c r="H33" s="11" t="s">
        <v>241</v>
      </c>
      <c r="I33" s="6"/>
      <c r="J33" s="6" t="s">
        <v>242</v>
      </c>
      <c r="K33" s="6" t="s">
        <v>66</v>
      </c>
      <c r="L33" s="12"/>
      <c r="M33" s="13" t="s">
        <v>58</v>
      </c>
      <c r="N33" s="14"/>
      <c r="O33" s="15" t="s">
        <v>79</v>
      </c>
      <c r="P33" s="6" t="s">
        <v>243</v>
      </c>
    </row>
    <row r="34" customFormat="false" ht="28.5" hidden="false" customHeight="true" outlineLevel="0" collapsed="false">
      <c r="A34" s="7" t="n">
        <v>31</v>
      </c>
      <c r="B34" s="10" t="s">
        <v>49</v>
      </c>
      <c r="C34" s="6" t="s">
        <v>219</v>
      </c>
      <c r="D34" s="6" t="s">
        <v>219</v>
      </c>
      <c r="E34" s="6" t="s">
        <v>244</v>
      </c>
      <c r="F34" s="6" t="s">
        <v>108</v>
      </c>
      <c r="G34" s="6" t="s">
        <v>103</v>
      </c>
      <c r="H34" s="11" t="s">
        <v>245</v>
      </c>
      <c r="I34" s="11" t="s">
        <v>109</v>
      </c>
      <c r="J34" s="6" t="s">
        <v>246</v>
      </c>
      <c r="K34" s="6" t="s">
        <v>247</v>
      </c>
      <c r="L34" s="12"/>
      <c r="M34" s="13" t="s">
        <v>58</v>
      </c>
      <c r="N34" s="14"/>
      <c r="O34" s="15" t="s">
        <v>79</v>
      </c>
      <c r="P34" s="6" t="s">
        <v>248</v>
      </c>
    </row>
    <row r="35" customFormat="false" ht="28.5" hidden="false" customHeight="true" outlineLevel="0" collapsed="false">
      <c r="A35" s="7" t="n">
        <v>32</v>
      </c>
      <c r="B35" s="16" t="s">
        <v>75</v>
      </c>
      <c r="C35" s="6" t="s">
        <v>219</v>
      </c>
      <c r="D35" s="6" t="s">
        <v>219</v>
      </c>
      <c r="E35" s="6" t="s">
        <v>249</v>
      </c>
      <c r="F35" s="6" t="s">
        <v>188</v>
      </c>
      <c r="G35" s="6" t="s">
        <v>103</v>
      </c>
      <c r="H35" s="11" t="s">
        <v>250</v>
      </c>
      <c r="I35" s="6"/>
      <c r="J35" s="6" t="s">
        <v>251</v>
      </c>
      <c r="K35" s="6" t="s">
        <v>145</v>
      </c>
      <c r="L35" s="12"/>
      <c r="M35" s="13" t="s">
        <v>58</v>
      </c>
      <c r="N35" s="14"/>
      <c r="O35" s="15" t="s">
        <v>118</v>
      </c>
      <c r="P35" s="6" t="s">
        <v>252</v>
      </c>
    </row>
    <row r="36" customFormat="false" ht="55.5" hidden="false" customHeight="true" outlineLevel="0" collapsed="false">
      <c r="A36" s="7" t="n">
        <v>33</v>
      </c>
      <c r="B36" s="16" t="s">
        <v>75</v>
      </c>
      <c r="C36" s="6" t="s">
        <v>253</v>
      </c>
      <c r="D36" s="6" t="s">
        <v>254</v>
      </c>
      <c r="E36" s="6" t="s">
        <v>255</v>
      </c>
      <c r="F36" s="6" t="s">
        <v>256</v>
      </c>
      <c r="G36" s="6" t="s">
        <v>54</v>
      </c>
      <c r="H36" s="11" t="s">
        <v>257</v>
      </c>
      <c r="I36" s="6"/>
      <c r="J36" s="17" t="s">
        <v>258</v>
      </c>
      <c r="K36" s="6" t="s">
        <v>259</v>
      </c>
      <c r="L36" s="12"/>
      <c r="M36" s="13" t="s">
        <v>58</v>
      </c>
      <c r="N36" s="14"/>
      <c r="O36" s="15" t="s">
        <v>59</v>
      </c>
      <c r="P36" s="6" t="s">
        <v>260</v>
      </c>
    </row>
    <row r="37" customFormat="false" ht="55.5" hidden="false" customHeight="true" outlineLevel="0" collapsed="false">
      <c r="A37" s="7" t="n">
        <v>34</v>
      </c>
      <c r="B37" s="10" t="s">
        <v>49</v>
      </c>
      <c r="C37" s="6" t="s">
        <v>253</v>
      </c>
      <c r="D37" s="6" t="s">
        <v>261</v>
      </c>
      <c r="E37" s="6" t="s">
        <v>262</v>
      </c>
      <c r="F37" s="6" t="s">
        <v>263</v>
      </c>
      <c r="G37" s="6" t="s">
        <v>89</v>
      </c>
      <c r="H37" s="11" t="s">
        <v>264</v>
      </c>
      <c r="I37" s="11" t="s">
        <v>265</v>
      </c>
      <c r="J37" s="6" t="s">
        <v>266</v>
      </c>
      <c r="K37" s="6" t="s">
        <v>267</v>
      </c>
      <c r="L37" s="12"/>
      <c r="M37" s="13" t="s">
        <v>58</v>
      </c>
      <c r="N37" s="14"/>
      <c r="O37" s="15" t="s">
        <v>59</v>
      </c>
      <c r="P37" s="6" t="s">
        <v>268</v>
      </c>
    </row>
    <row r="38" customFormat="false" ht="42" hidden="false" customHeight="true" outlineLevel="0" collapsed="false">
      <c r="A38" s="7" t="n">
        <v>35</v>
      </c>
      <c r="B38" s="10" t="s">
        <v>49</v>
      </c>
      <c r="C38" s="6" t="s">
        <v>253</v>
      </c>
      <c r="D38" s="6" t="s">
        <v>269</v>
      </c>
      <c r="E38" s="6" t="s">
        <v>270</v>
      </c>
      <c r="F38" s="6" t="s">
        <v>271</v>
      </c>
      <c r="G38" s="6" t="s">
        <v>89</v>
      </c>
      <c r="H38" s="11" t="s">
        <v>272</v>
      </c>
      <c r="I38" s="11" t="s">
        <v>273</v>
      </c>
      <c r="J38" s="6" t="s">
        <v>274</v>
      </c>
      <c r="K38" s="6" t="s">
        <v>275</v>
      </c>
      <c r="L38" s="12"/>
      <c r="M38" s="13" t="s">
        <v>58</v>
      </c>
      <c r="N38" s="14"/>
      <c r="O38" s="15" t="s">
        <v>59</v>
      </c>
      <c r="P38" s="6" t="s">
        <v>276</v>
      </c>
    </row>
    <row r="39" customFormat="false" ht="28.5" hidden="false" customHeight="true" outlineLevel="0" collapsed="false">
      <c r="A39" s="7" t="n">
        <v>36</v>
      </c>
      <c r="B39" s="16" t="s">
        <v>75</v>
      </c>
      <c r="C39" s="6" t="s">
        <v>253</v>
      </c>
      <c r="D39" s="6" t="s">
        <v>269</v>
      </c>
      <c r="E39" s="6" t="s">
        <v>277</v>
      </c>
      <c r="F39" s="6" t="s">
        <v>102</v>
      </c>
      <c r="G39" s="6" t="s">
        <v>103</v>
      </c>
      <c r="H39" s="11" t="s">
        <v>278</v>
      </c>
      <c r="I39" s="11" t="s">
        <v>279</v>
      </c>
      <c r="J39" s="6" t="s">
        <v>280</v>
      </c>
      <c r="K39" s="6" t="s">
        <v>66</v>
      </c>
      <c r="L39" s="12"/>
      <c r="M39" s="13" t="s">
        <v>58</v>
      </c>
      <c r="N39" s="14"/>
      <c r="O39" s="15" t="s">
        <v>79</v>
      </c>
      <c r="P39" s="6" t="s">
        <v>281</v>
      </c>
    </row>
    <row r="40" customFormat="false" ht="28.5" hidden="false" customHeight="true" outlineLevel="0" collapsed="false">
      <c r="A40" s="7" t="n">
        <v>37</v>
      </c>
      <c r="B40" s="16" t="s">
        <v>75</v>
      </c>
      <c r="C40" s="6" t="s">
        <v>253</v>
      </c>
      <c r="D40" s="6" t="s">
        <v>282</v>
      </c>
      <c r="E40" s="6" t="s">
        <v>283</v>
      </c>
      <c r="F40" s="6" t="s">
        <v>176</v>
      </c>
      <c r="G40" s="6" t="s">
        <v>103</v>
      </c>
      <c r="H40" s="11" t="s">
        <v>284</v>
      </c>
      <c r="I40" s="6"/>
      <c r="J40" s="6" t="s">
        <v>285</v>
      </c>
      <c r="K40" s="6" t="s">
        <v>231</v>
      </c>
      <c r="L40" s="12"/>
      <c r="M40" s="13" t="s">
        <v>58</v>
      </c>
      <c r="N40" s="14"/>
      <c r="O40" s="15" t="s">
        <v>79</v>
      </c>
      <c r="P40" s="6"/>
    </row>
    <row r="41" customFormat="false" ht="28.5" hidden="false" customHeight="true" outlineLevel="0" collapsed="false">
      <c r="A41" s="7" t="n">
        <v>38</v>
      </c>
      <c r="B41" s="16" t="s">
        <v>75</v>
      </c>
      <c r="C41" s="6" t="s">
        <v>286</v>
      </c>
      <c r="D41" s="6" t="s">
        <v>287</v>
      </c>
      <c r="E41" s="6" t="s">
        <v>288</v>
      </c>
      <c r="F41" s="6" t="s">
        <v>102</v>
      </c>
      <c r="G41" s="6" t="s">
        <v>103</v>
      </c>
      <c r="H41" s="11" t="s">
        <v>289</v>
      </c>
      <c r="I41" s="11" t="s">
        <v>290</v>
      </c>
      <c r="J41" s="17" t="s">
        <v>291</v>
      </c>
      <c r="K41" s="6" t="s">
        <v>66</v>
      </c>
      <c r="L41" s="12" t="n">
        <v>46418</v>
      </c>
      <c r="M41" s="13" t="str">
        <f aca="true">IF(L41&lt;TODAY(),"已截止",IF(L41=TODAY(),"今日截止",IF(L41-TODAY()&lt;=7,"7天内截止","进行中")))</f>
        <v>进行中</v>
      </c>
      <c r="N41" s="14" t="n">
        <f aca="true">IF(ISNUMBER(L41),L41-TODAY(),"")</f>
        <v>102</v>
      </c>
      <c r="O41" s="15" t="s">
        <v>79</v>
      </c>
      <c r="P41" s="6" t="s">
        <v>292</v>
      </c>
    </row>
    <row r="42" customFormat="false" ht="28.5" hidden="false" customHeight="true" outlineLevel="0" collapsed="false">
      <c r="A42" s="7" t="n">
        <v>39</v>
      </c>
      <c r="B42" s="16" t="s">
        <v>75</v>
      </c>
      <c r="C42" s="6" t="s">
        <v>286</v>
      </c>
      <c r="D42" s="6" t="s">
        <v>293</v>
      </c>
      <c r="E42" s="6" t="s">
        <v>294</v>
      </c>
      <c r="F42" s="6" t="s">
        <v>176</v>
      </c>
      <c r="G42" s="6" t="s">
        <v>103</v>
      </c>
      <c r="H42" s="11" t="s">
        <v>295</v>
      </c>
      <c r="I42" s="6"/>
      <c r="J42" s="6" t="s">
        <v>296</v>
      </c>
      <c r="K42" s="6" t="s">
        <v>231</v>
      </c>
      <c r="L42" s="12"/>
      <c r="M42" s="13" t="s">
        <v>58</v>
      </c>
      <c r="N42" s="14"/>
      <c r="O42" s="15" t="s">
        <v>79</v>
      </c>
      <c r="P42" s="6"/>
    </row>
    <row r="43" customFormat="false" ht="28.5" hidden="false" customHeight="true" outlineLevel="0" collapsed="false">
      <c r="A43" s="7" t="n">
        <v>40</v>
      </c>
      <c r="B43" s="16" t="s">
        <v>75</v>
      </c>
      <c r="C43" s="6" t="s">
        <v>297</v>
      </c>
      <c r="D43" s="6" t="s">
        <v>298</v>
      </c>
      <c r="E43" s="6" t="s">
        <v>299</v>
      </c>
      <c r="F43" s="6" t="s">
        <v>176</v>
      </c>
      <c r="G43" s="6" t="s">
        <v>103</v>
      </c>
      <c r="H43" s="11" t="s">
        <v>300</v>
      </c>
      <c r="I43" s="6"/>
      <c r="J43" s="17" t="s">
        <v>301</v>
      </c>
      <c r="K43" s="6" t="s">
        <v>231</v>
      </c>
      <c r="L43" s="12"/>
      <c r="M43" s="13" t="s">
        <v>58</v>
      </c>
      <c r="N43" s="14"/>
      <c r="O43" s="15" t="s">
        <v>79</v>
      </c>
      <c r="P43" s="6"/>
    </row>
    <row r="44" customFormat="false" ht="28.5" hidden="false" customHeight="true" outlineLevel="0" collapsed="false">
      <c r="A44" s="7" t="n">
        <v>41</v>
      </c>
      <c r="B44" s="16" t="s">
        <v>75</v>
      </c>
      <c r="C44" s="6" t="s">
        <v>297</v>
      </c>
      <c r="D44" s="6" t="s">
        <v>302</v>
      </c>
      <c r="E44" s="6" t="s">
        <v>303</v>
      </c>
      <c r="F44" s="6" t="s">
        <v>176</v>
      </c>
      <c r="G44" s="6" t="s">
        <v>103</v>
      </c>
      <c r="H44" s="11" t="s">
        <v>304</v>
      </c>
      <c r="I44" s="6"/>
      <c r="J44" s="17" t="s">
        <v>305</v>
      </c>
      <c r="K44" s="6" t="s">
        <v>231</v>
      </c>
      <c r="L44" s="12"/>
      <c r="M44" s="13" t="s">
        <v>58</v>
      </c>
      <c r="N44" s="14"/>
      <c r="O44" s="15" t="s">
        <v>79</v>
      </c>
      <c r="P44" s="6"/>
    </row>
    <row r="45" customFormat="false" ht="42" hidden="false" customHeight="true" outlineLevel="0" collapsed="false">
      <c r="A45" s="7" t="n">
        <v>42</v>
      </c>
      <c r="B45" s="16" t="s">
        <v>75</v>
      </c>
      <c r="C45" s="6" t="s">
        <v>306</v>
      </c>
      <c r="D45" s="6" t="s">
        <v>307</v>
      </c>
      <c r="E45" s="6" t="s">
        <v>308</v>
      </c>
      <c r="F45" s="6" t="s">
        <v>200</v>
      </c>
      <c r="G45" s="6" t="s">
        <v>103</v>
      </c>
      <c r="H45" s="11" t="s">
        <v>157</v>
      </c>
      <c r="I45" s="11" t="s">
        <v>309</v>
      </c>
      <c r="J45" s="6" t="s">
        <v>310</v>
      </c>
      <c r="K45" s="6" t="s">
        <v>191</v>
      </c>
      <c r="L45" s="12"/>
      <c r="M45" s="13" t="s">
        <v>58</v>
      </c>
      <c r="N45" s="14"/>
      <c r="O45" s="15" t="s">
        <v>79</v>
      </c>
      <c r="P45" s="6" t="s">
        <v>311</v>
      </c>
    </row>
    <row r="46" customFormat="false" ht="28.5" hidden="false" customHeight="true" outlineLevel="0" collapsed="false">
      <c r="A46" s="7" t="n">
        <v>43</v>
      </c>
      <c r="B46" s="16" t="s">
        <v>75</v>
      </c>
      <c r="C46" s="6" t="s">
        <v>312</v>
      </c>
      <c r="D46" s="6" t="s">
        <v>313</v>
      </c>
      <c r="E46" s="6" t="s">
        <v>314</v>
      </c>
      <c r="F46" s="6" t="s">
        <v>315</v>
      </c>
      <c r="G46" s="6" t="s">
        <v>103</v>
      </c>
      <c r="H46" s="11" t="s">
        <v>316</v>
      </c>
      <c r="I46" s="6"/>
      <c r="J46" s="6" t="s">
        <v>317</v>
      </c>
      <c r="K46" s="6" t="s">
        <v>318</v>
      </c>
      <c r="L46" s="12"/>
      <c r="M46" s="13" t="s">
        <v>58</v>
      </c>
      <c r="N46" s="14"/>
      <c r="O46" s="15" t="s">
        <v>59</v>
      </c>
      <c r="P46" s="6" t="s">
        <v>319</v>
      </c>
    </row>
    <row r="47" customFormat="false" ht="28.5" hidden="false" customHeight="true" outlineLevel="0" collapsed="false">
      <c r="A47" s="7" t="n">
        <v>44</v>
      </c>
      <c r="B47" s="10" t="s">
        <v>49</v>
      </c>
      <c r="C47" s="6" t="s">
        <v>312</v>
      </c>
      <c r="D47" s="6" t="s">
        <v>320</v>
      </c>
      <c r="E47" s="6" t="s">
        <v>321</v>
      </c>
      <c r="F47" s="6" t="s">
        <v>234</v>
      </c>
      <c r="G47" s="6" t="s">
        <v>103</v>
      </c>
      <c r="H47" s="11" t="s">
        <v>322</v>
      </c>
      <c r="I47" s="6"/>
      <c r="J47" s="6" t="s">
        <v>323</v>
      </c>
      <c r="K47" s="6" t="s">
        <v>324</v>
      </c>
      <c r="L47" s="12"/>
      <c r="M47" s="13" t="s">
        <v>58</v>
      </c>
      <c r="N47" s="14"/>
      <c r="O47" s="15" t="s">
        <v>59</v>
      </c>
      <c r="P47" s="6" t="s">
        <v>325</v>
      </c>
    </row>
    <row r="48" customFormat="false" ht="28.5" hidden="false" customHeight="true" outlineLevel="0" collapsed="false">
      <c r="A48" s="7" t="n">
        <v>45</v>
      </c>
      <c r="B48" s="10" t="s">
        <v>49</v>
      </c>
      <c r="C48" s="6" t="s">
        <v>312</v>
      </c>
      <c r="D48" s="6" t="s">
        <v>326</v>
      </c>
      <c r="E48" s="6" t="s">
        <v>327</v>
      </c>
      <c r="F48" s="6" t="s">
        <v>200</v>
      </c>
      <c r="G48" s="6" t="s">
        <v>103</v>
      </c>
      <c r="H48" s="11" t="s">
        <v>328</v>
      </c>
      <c r="I48" s="6"/>
      <c r="J48" s="6" t="s">
        <v>329</v>
      </c>
      <c r="K48" s="6" t="s">
        <v>66</v>
      </c>
      <c r="L48" s="12"/>
      <c r="M48" s="13" t="s">
        <v>58</v>
      </c>
      <c r="N48" s="14"/>
      <c r="O48" s="15" t="s">
        <v>59</v>
      </c>
      <c r="P48" s="6" t="s">
        <v>330</v>
      </c>
    </row>
    <row r="49" customFormat="false" ht="28.5" hidden="false" customHeight="true" outlineLevel="0" collapsed="false">
      <c r="A49" s="7" t="n">
        <v>46</v>
      </c>
      <c r="B49" s="10" t="s">
        <v>49</v>
      </c>
      <c r="C49" s="6" t="s">
        <v>312</v>
      </c>
      <c r="D49" s="6" t="s">
        <v>331</v>
      </c>
      <c r="E49" s="6" t="s">
        <v>332</v>
      </c>
      <c r="F49" s="6" t="s">
        <v>315</v>
      </c>
      <c r="G49" s="6" t="s">
        <v>103</v>
      </c>
      <c r="H49" s="11" t="s">
        <v>333</v>
      </c>
      <c r="I49" s="6"/>
      <c r="J49" s="6" t="s">
        <v>334</v>
      </c>
      <c r="K49" s="6" t="s">
        <v>335</v>
      </c>
      <c r="L49" s="12"/>
      <c r="M49" s="13" t="s">
        <v>58</v>
      </c>
      <c r="N49" s="14"/>
      <c r="O49" s="15" t="s">
        <v>59</v>
      </c>
      <c r="P49" s="6" t="s">
        <v>336</v>
      </c>
    </row>
    <row r="50" customFormat="false" ht="28.5" hidden="false" customHeight="true" outlineLevel="0" collapsed="false">
      <c r="A50" s="7" t="n">
        <v>47</v>
      </c>
      <c r="B50" s="10" t="s">
        <v>49</v>
      </c>
      <c r="C50" s="6" t="s">
        <v>312</v>
      </c>
      <c r="D50" s="6" t="s">
        <v>337</v>
      </c>
      <c r="E50" s="6" t="s">
        <v>338</v>
      </c>
      <c r="F50" s="6" t="s">
        <v>315</v>
      </c>
      <c r="G50" s="6" t="s">
        <v>103</v>
      </c>
      <c r="H50" s="11" t="s">
        <v>339</v>
      </c>
      <c r="I50" s="6"/>
      <c r="J50" s="6" t="s">
        <v>340</v>
      </c>
      <c r="K50" s="6" t="s">
        <v>341</v>
      </c>
      <c r="L50" s="12"/>
      <c r="M50" s="13" t="s">
        <v>58</v>
      </c>
      <c r="N50" s="14"/>
      <c r="O50" s="15" t="s">
        <v>59</v>
      </c>
      <c r="P50" s="6" t="s">
        <v>342</v>
      </c>
    </row>
    <row r="51" customFormat="false" ht="28.5" hidden="false" customHeight="true" outlineLevel="0" collapsed="false">
      <c r="A51" s="7" t="n">
        <v>48</v>
      </c>
      <c r="B51" s="16" t="s">
        <v>75</v>
      </c>
      <c r="C51" s="6" t="s">
        <v>312</v>
      </c>
      <c r="D51" s="6" t="s">
        <v>343</v>
      </c>
      <c r="E51" s="6" t="s">
        <v>344</v>
      </c>
      <c r="F51" s="6" t="s">
        <v>200</v>
      </c>
      <c r="G51" s="6" t="s">
        <v>103</v>
      </c>
      <c r="H51" s="11" t="s">
        <v>345</v>
      </c>
      <c r="I51" s="6"/>
      <c r="J51" s="6" t="s">
        <v>346</v>
      </c>
      <c r="K51" s="6" t="s">
        <v>145</v>
      </c>
      <c r="L51" s="12"/>
      <c r="M51" s="13" t="s">
        <v>58</v>
      </c>
      <c r="N51" s="14"/>
      <c r="O51" s="15" t="s">
        <v>79</v>
      </c>
      <c r="P51" s="6" t="s">
        <v>347</v>
      </c>
    </row>
    <row r="52" customFormat="false" ht="28.5" hidden="false" customHeight="true" outlineLevel="0" collapsed="false">
      <c r="A52" s="7" t="n">
        <v>49</v>
      </c>
      <c r="B52" s="16" t="s">
        <v>75</v>
      </c>
      <c r="C52" s="6" t="s">
        <v>312</v>
      </c>
      <c r="D52" s="6" t="s">
        <v>343</v>
      </c>
      <c r="E52" s="6" t="s">
        <v>348</v>
      </c>
      <c r="F52" s="6" t="s">
        <v>200</v>
      </c>
      <c r="G52" s="6" t="s">
        <v>103</v>
      </c>
      <c r="H52" s="11" t="s">
        <v>349</v>
      </c>
      <c r="I52" s="11" t="s">
        <v>350</v>
      </c>
      <c r="J52" s="6" t="s">
        <v>351</v>
      </c>
      <c r="K52" s="6" t="s">
        <v>145</v>
      </c>
      <c r="L52" s="12"/>
      <c r="M52" s="13" t="s">
        <v>58</v>
      </c>
      <c r="N52" s="14"/>
      <c r="O52" s="15" t="s">
        <v>79</v>
      </c>
      <c r="P52" s="6" t="s">
        <v>352</v>
      </c>
    </row>
    <row r="53" customFormat="false" ht="28.5" hidden="false" customHeight="true" outlineLevel="0" collapsed="false">
      <c r="A53" s="7" t="n">
        <v>50</v>
      </c>
      <c r="B53" s="10" t="s">
        <v>49</v>
      </c>
      <c r="C53" s="6" t="s">
        <v>312</v>
      </c>
      <c r="D53" s="6" t="s">
        <v>343</v>
      </c>
      <c r="E53" s="6" t="s">
        <v>353</v>
      </c>
      <c r="F53" s="6" t="s">
        <v>200</v>
      </c>
      <c r="G53" s="6" t="s">
        <v>103</v>
      </c>
      <c r="H53" s="11" t="s">
        <v>109</v>
      </c>
      <c r="I53" s="6"/>
      <c r="J53" s="6" t="s">
        <v>354</v>
      </c>
      <c r="K53" s="6" t="s">
        <v>355</v>
      </c>
      <c r="L53" s="12"/>
      <c r="M53" s="13" t="s">
        <v>58</v>
      </c>
      <c r="N53" s="14"/>
      <c r="O53" s="15" t="s">
        <v>79</v>
      </c>
      <c r="P53" s="6" t="s">
        <v>356</v>
      </c>
    </row>
    <row r="54" customFormat="false" ht="28.5" hidden="false" customHeight="true" outlineLevel="0" collapsed="false">
      <c r="A54" s="7" t="n">
        <v>51</v>
      </c>
      <c r="B54" s="10" t="s">
        <v>49</v>
      </c>
      <c r="C54" s="6" t="s">
        <v>312</v>
      </c>
      <c r="D54" s="6" t="s">
        <v>343</v>
      </c>
      <c r="E54" s="6" t="s">
        <v>357</v>
      </c>
      <c r="F54" s="6" t="s">
        <v>108</v>
      </c>
      <c r="G54" s="6" t="s">
        <v>103</v>
      </c>
      <c r="H54" s="11" t="s">
        <v>358</v>
      </c>
      <c r="I54" s="6"/>
      <c r="J54" s="6" t="s">
        <v>359</v>
      </c>
      <c r="K54" s="6" t="s">
        <v>66</v>
      </c>
      <c r="L54" s="12"/>
      <c r="M54" s="13" t="s">
        <v>58</v>
      </c>
      <c r="N54" s="14"/>
      <c r="O54" s="15" t="s">
        <v>79</v>
      </c>
      <c r="P54" s="6" t="s">
        <v>360</v>
      </c>
    </row>
    <row r="55" customFormat="false" ht="28.5" hidden="false" customHeight="true" outlineLevel="0" collapsed="false">
      <c r="A55" s="7" t="n">
        <v>52</v>
      </c>
      <c r="B55" s="10" t="s">
        <v>49</v>
      </c>
      <c r="C55" s="6" t="s">
        <v>312</v>
      </c>
      <c r="D55" s="6" t="s">
        <v>343</v>
      </c>
      <c r="E55" s="6" t="s">
        <v>361</v>
      </c>
      <c r="F55" s="6" t="s">
        <v>108</v>
      </c>
      <c r="G55" s="6" t="s">
        <v>103</v>
      </c>
      <c r="H55" s="11" t="s">
        <v>362</v>
      </c>
      <c r="I55" s="6"/>
      <c r="J55" s="6" t="s">
        <v>363</v>
      </c>
      <c r="K55" s="6" t="s">
        <v>145</v>
      </c>
      <c r="L55" s="12"/>
      <c r="M55" s="13" t="s">
        <v>58</v>
      </c>
      <c r="N55" s="14"/>
      <c r="O55" s="15" t="s">
        <v>79</v>
      </c>
      <c r="P55" s="6" t="s">
        <v>364</v>
      </c>
    </row>
    <row r="56" customFormat="false" ht="28.5" hidden="false" customHeight="true" outlineLevel="0" collapsed="false">
      <c r="A56" s="7" t="n">
        <v>53</v>
      </c>
      <c r="B56" s="10" t="s">
        <v>49</v>
      </c>
      <c r="C56" s="6" t="s">
        <v>312</v>
      </c>
      <c r="D56" s="6" t="s">
        <v>343</v>
      </c>
      <c r="E56" s="6" t="s">
        <v>365</v>
      </c>
      <c r="F56" s="6" t="s">
        <v>200</v>
      </c>
      <c r="G56" s="6" t="s">
        <v>103</v>
      </c>
      <c r="H56" s="11" t="s">
        <v>366</v>
      </c>
      <c r="I56" s="11" t="s">
        <v>367</v>
      </c>
      <c r="J56" s="6" t="s">
        <v>368</v>
      </c>
      <c r="K56" s="6" t="s">
        <v>145</v>
      </c>
      <c r="L56" s="12"/>
      <c r="M56" s="13" t="s">
        <v>58</v>
      </c>
      <c r="N56" s="14"/>
      <c r="O56" s="15" t="s">
        <v>79</v>
      </c>
      <c r="P56" s="6" t="s">
        <v>369</v>
      </c>
    </row>
    <row r="57" customFormat="false" ht="28.5" hidden="false" customHeight="true" outlineLevel="0" collapsed="false">
      <c r="A57" s="7" t="n">
        <v>54</v>
      </c>
      <c r="B57" s="16" t="s">
        <v>75</v>
      </c>
      <c r="C57" s="6" t="s">
        <v>312</v>
      </c>
      <c r="D57" s="6" t="s">
        <v>343</v>
      </c>
      <c r="E57" s="6" t="s">
        <v>370</v>
      </c>
      <c r="F57" s="6" t="s">
        <v>200</v>
      </c>
      <c r="G57" s="6" t="s">
        <v>103</v>
      </c>
      <c r="H57" s="11" t="s">
        <v>371</v>
      </c>
      <c r="I57" s="6"/>
      <c r="J57" s="17" t="s">
        <v>372</v>
      </c>
      <c r="K57" s="6" t="s">
        <v>145</v>
      </c>
      <c r="L57" s="12"/>
      <c r="M57" s="13" t="s">
        <v>58</v>
      </c>
      <c r="N57" s="14"/>
      <c r="O57" s="15" t="s">
        <v>118</v>
      </c>
      <c r="P57" s="6" t="s">
        <v>373</v>
      </c>
    </row>
    <row r="58" customFormat="false" ht="42" hidden="false" customHeight="true" outlineLevel="0" collapsed="false">
      <c r="A58" s="7" t="n">
        <v>55</v>
      </c>
      <c r="B58" s="16" t="s">
        <v>75</v>
      </c>
      <c r="C58" s="6" t="s">
        <v>312</v>
      </c>
      <c r="D58" s="6" t="s">
        <v>343</v>
      </c>
      <c r="E58" s="6" t="s">
        <v>374</v>
      </c>
      <c r="F58" s="6" t="s">
        <v>315</v>
      </c>
      <c r="G58" s="6" t="s">
        <v>103</v>
      </c>
      <c r="H58" s="11" t="s">
        <v>375</v>
      </c>
      <c r="I58" s="6"/>
      <c r="J58" s="17" t="s">
        <v>376</v>
      </c>
      <c r="K58" s="6" t="s">
        <v>377</v>
      </c>
      <c r="L58" s="12"/>
      <c r="M58" s="13" t="s">
        <v>58</v>
      </c>
      <c r="N58" s="14"/>
      <c r="O58" s="15" t="s">
        <v>118</v>
      </c>
      <c r="P58" s="6" t="s">
        <v>378</v>
      </c>
    </row>
  </sheetData>
  <autoFilter ref="A3:P58"/>
  <mergeCells count="2">
    <mergeCell ref="A1:P1"/>
    <mergeCell ref="A2:P2"/>
  </mergeCells>
  <conditionalFormatting sqref="O4:O58">
    <cfRule type="expression" priority="2" aboveAverage="0" equalAverage="0" bottom="0" percent="0" rank="0" text="" dxfId="10">
      <formula>O4="★★★"</formula>
    </cfRule>
    <cfRule type="expression" priority="3" aboveAverage="0" equalAverage="0" bottom="0" percent="0" rank="0" text="" dxfId="11">
      <formula>O4="★★"</formula>
    </cfRule>
  </conditionalFormatting>
  <conditionalFormatting sqref="M4:M58">
    <cfRule type="expression" priority="4" aboveAverage="0" equalAverage="0" bottom="0" percent="0" rank="0" text="" dxfId="12">
      <formula>M4="已截止"</formula>
    </cfRule>
    <cfRule type="expression" priority="5" aboveAverage="0" equalAverage="0" bottom="0" percent="0" rank="0" text="" dxfId="13">
      <formula>OR(M4="今日截止",M4="7天内截止")</formula>
    </cfRule>
    <cfRule type="expression" priority="6" aboveAverage="0" equalAverage="0" bottom="0" percent="0" rank="0" text="" dxfId="14">
      <formula>M4="进行中"</formula>
    </cfRule>
  </conditionalFormatting>
  <hyperlinks>
    <hyperlink ref="H4" r:id="rId1" display="https://www.xmlq.com.cn/Recruit/campus/1"/>
    <hyperlink ref="H5" r:id="rId2" display="https://holsin.zhiye.com/"/>
    <hyperlink ref="H6" r:id="rId3" display="https://fjjky.zhiye.com/"/>
    <hyperlink ref="I6" r:id="rId4" display="http://www.fjjky.com/"/>
    <hyperlink ref="H7" r:id="rId5" display="https://xmgdjt.zhiye.com/campus/jobs"/>
    <hyperlink ref="H8" r:id="rId6" display="https://xmhjjt.zhiye.com/intern/jobs"/>
    <hyperlink ref="H9" r:id="rId7" display="https://3treesgroup.zhaopin.com/jobs1/index.html?iten=two"/>
    <hyperlink ref="H10" r:id="rId8" display="https://chinacdc.zhiye.com/subzw?k="/>
    <hyperlink ref="I10" r:id="rId9" display="https://www.chinacdc.com/join"/>
    <hyperlink ref="H11" r:id="rId10" display="https://fedi.zhiye.com/"/>
    <hyperlink ref="H12" r:id="rId11" display="https://cscec.iguopin.com/job-campus"/>
    <hyperlink ref="I12" r:id="rId12" display="https://scdc.cscec.com/"/>
    <hyperlink ref="H13" r:id="rId13" display="https://fzport2.zhiye.com/jobs"/>
    <hyperlink ref="H14" r:id="rId14" display="https://xpgco.zhiye.com/"/>
    <hyperlink ref="H15" r:id="rId15" display="http://sc.hotjob.cn/wt/GZPI/web/index?brandCode=1"/>
    <hyperlink ref="H16" r:id="rId16" display="https://www.ncss.cn/student/jobs/T6tpZPN3EjRmMiDoPz42ux/detail.html"/>
    <hyperlink ref="H17" r:id="rId17" display="https://www.iguopin.com/company?id=10685386929595437"/>
    <hyperlink ref="H18" r:id="rId18" display="http://zjggzp.zhiye.com/"/>
    <hyperlink ref="I18" r:id="rId19" display="https://campus.iguopin.com/index.php?a=comshow&amp;c=jobs&amp;id=2445&amp;m=mobile"/>
    <hyperlink ref="H19" r:id="rId20" display="https://etr.cccc4.com/contents/174/14192.html"/>
    <hyperlink ref="I19" r:id="rId21" display="https://zhaopin.ccccltd.cn/custom/index"/>
    <hyperlink ref="H20" r:id="rId22" display="https://gdadri.zhiye.com/campus"/>
    <hyperlink ref="I20" r:id="rId23" display="https://www.gdadri.com/recruiting/index.html"/>
    <hyperlink ref="H21" r:id="rId24" display="https://campus.iguopin.com/index.php?a=com_show&amp;c=jobs&amp;id=4433&amp;m="/>
    <hyperlink ref="H22" r:id="rId25" display="https://job.cscec8b.com.cn/recruitment/job/detail/id/2779"/>
    <hyperlink ref="I22" r:id="rId26" display="https://job.cscec8b.com.cn/8bnf"/>
    <hyperlink ref="H23" r:id="rId27" display="https://zhongjiankeji.zhiye.com/Campus"/>
    <hyperlink ref="I23" r:id="rId28" display="https://job.cscec8b.com.cn/recruitment/job/detail/id/2765"/>
    <hyperlink ref="H24" r:id="rId29" display="https://www.cccc4.com/index.php/Hr/index/cat_id/35.html"/>
    <hyperlink ref="I24" r:id="rId30" display="https://zhaopin.ccccltd.cn/custom/index"/>
    <hyperlink ref="H25" r:id="rId31" display="https://gzmetro.zhiye.com/campus"/>
    <hyperlink ref="I25" r:id="rId32" display="https://www.ncss.cn/student/jobs/4ZWwrRz6CrjMezA9QdpzmV/detail.html"/>
    <hyperlink ref="H26" r:id="rId33" display="https://cmhk.zhiye.com/custom/xiaoyuan?hideAll=true"/>
    <hyperlink ref="H27" r:id="rId34" display="https://coli688.zhiye.com/"/>
    <hyperlink ref="H28" r:id="rId35" display="https://cmsk1979.zhiye.com/campus/jobs"/>
    <hyperlink ref="H29" r:id="rId36" display="https://polynew.zhiye.com/campus"/>
    <hyperlink ref="I29" r:id="rId37" display="https://polycareer.zhiye.com/campus"/>
    <hyperlink ref="H30" r:id="rId38" display="http://ekp.tjad.cn/"/>
    <hyperlink ref="I30" r:id="rId39" display="http://www.tjad.cn/"/>
    <hyperlink ref="H31" r:id="rId40" display="https://job.cscec8b.com.cn/8bsh"/>
    <hyperlink ref="H32" r:id="rId41" display="https://hr.cisdi.com.cn/job.php"/>
    <hyperlink ref="H33" r:id="rId42" display="https://stec-sucg.zhiye.com/"/>
    <hyperlink ref="H34" r:id="rId43" display="https://cschcc.cscec.com/rlzy/xyzp/"/>
    <hyperlink ref="I34" r:id="rId44" display="https://cscec.iguopin.com/job-campus"/>
    <hyperlink ref="H35" r:id="rId45" display="https://ccccltd.iguopin.com/job-campus"/>
    <hyperlink ref="H36" r:id="rId46" display="https://www.cncico.com/content/82659"/>
    <hyperlink ref="H37" r:id="rId47" display="http://hr.600496.com/index.php/Home/Campus/index.html"/>
    <hyperlink ref="I37" r:id="rId48" display="https://hr.600496.com/index.php/home/campus/xzbz.html"/>
    <hyperlink ref="H38" r:id="rId49" display="https://hxss.com.cn/sociology.html"/>
    <hyperlink ref="I38" r:id="rId50" display="https://hxss.com.cn/job1/59.html"/>
    <hyperlink ref="H39" r:id="rId51" display="https://hdec.zhiye.com/campus"/>
    <hyperlink ref="I39" r:id="rId52" display="https://hdec.zhiye.com/"/>
    <hyperlink ref="H40" r:id="rId53" display="https://job.cscec8b.com.cn/8bzj"/>
    <hyperlink ref="H41" r:id="rId54" display="https://bhidi.zhiye.com/"/>
    <hyperlink ref="I41" r:id="rId55" display="https://bhidi.powerchina.cn/col/col10127/art/2026/art_b9615884a96342c0811752ba7264e0d1.html"/>
    <hyperlink ref="H42" r:id="rId56" display="https://job.cscec8b.com.cn/83"/>
    <hyperlink ref="H43" r:id="rId57" display="https://job.cscec8b.com.cn/81"/>
    <hyperlink ref="H44" r:id="rId58" display="https://job.cscec8b.com.cn/84"/>
    <hyperlink ref="H45" r:id="rId59" display="https://zhaopin.ccccltd.cn/custom/index"/>
    <hyperlink ref="I45" r:id="rId60" display="https://ccccltd.zhiye.com/custom/zpgg?hideMenu=1"/>
    <hyperlink ref="H46" r:id="rId61" display="https://www.ncss.cn/student/jobs/BbViVFgZsog3EZ9rUU3Yfh/detail.html"/>
    <hyperlink ref="H47" r:id="rId62" display="http://www.cribc.com/rlzy/xyzp/"/>
    <hyperlink ref="H48" r:id="rId63" display="https://gangyan.zhiye.com/campus"/>
    <hyperlink ref="H49" r:id="rId64" display="https://www.brdi.com.cn/list/49.html"/>
    <hyperlink ref="H50" r:id="rId65" display="http://www.crbbg.com/rlzy/rczp.htm"/>
    <hyperlink ref="H51" r:id="rId66" display="https://ceec.iguopin.com/job"/>
    <hyperlink ref="H52" r:id="rId67" display="https://cnbmjob.iguopin.com/notice"/>
    <hyperlink ref="I52" r:id="rId68" display="https://cnbmjob.iguopin.com/job"/>
    <hyperlink ref="H53" r:id="rId69" display="https://cscec.iguopin.com/job-campus"/>
    <hyperlink ref="H54" r:id="rId70" display="https://cscec1b.zhiye.com/xiaoyuan"/>
    <hyperlink ref="H55" r:id="rId71" display="https://campus.iguopin.com/index.php?a=comshow&amp;c=jobs&amp;id=3690&amp;m=mobile"/>
    <hyperlink ref="H56" r:id="rId72" display="https://minmetals.iguopin.com/job"/>
    <hyperlink ref="I56" r:id="rId73" display="https://campus.iguopin.com/index.php?a=comshow&amp;c=Jobs&amp;id=1408&amp;m=Mobile"/>
    <hyperlink ref="H57" r:id="rId74" display="https://sdic1.iguopin.com/notice"/>
    <hyperlink ref="H58" r:id="rId75" display="https://www.crec.cn/zttzjt/rlzy/zpxx/2026100816145396264/index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7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6" min="5" style="0" width="52"/>
    <col collapsed="false" customWidth="true" hidden="false" outlineLevel="0" max="7" min="7" style="0" width="10"/>
    <col collapsed="false" customWidth="true" hidden="false" outlineLevel="0" max="8" min="8" style="0" width="36"/>
  </cols>
  <sheetData>
    <row r="1" customFormat="false" ht="24" hidden="false" customHeight="true" outlineLevel="0" collapsed="false">
      <c r="A1" s="1" t="s">
        <v>379</v>
      </c>
      <c r="B1" s="1"/>
      <c r="C1" s="1"/>
      <c r="D1" s="1"/>
      <c r="E1" s="1"/>
      <c r="F1" s="1"/>
      <c r="G1" s="1"/>
      <c r="H1" s="1"/>
    </row>
    <row r="2" customFormat="false" ht="42" hidden="false" customHeight="true" outlineLevel="0" collapsed="false">
      <c r="A2" s="9" t="s">
        <v>380</v>
      </c>
      <c r="B2" s="9"/>
      <c r="C2" s="9"/>
      <c r="D2" s="9"/>
      <c r="E2" s="9"/>
      <c r="F2" s="9"/>
      <c r="G2" s="9"/>
      <c r="H2" s="9"/>
    </row>
    <row r="3" customFormat="false" ht="30" hidden="false" customHeight="true" outlineLevel="0" collapsed="false">
      <c r="A3" s="5" t="s">
        <v>33</v>
      </c>
      <c r="B3" s="5" t="s">
        <v>35</v>
      </c>
      <c r="C3" s="5" t="s">
        <v>381</v>
      </c>
      <c r="D3" s="5" t="s">
        <v>37</v>
      </c>
      <c r="E3" s="5" t="s">
        <v>382</v>
      </c>
      <c r="F3" s="5" t="s">
        <v>383</v>
      </c>
      <c r="G3" s="5" t="s">
        <v>47</v>
      </c>
      <c r="H3" s="5" t="s">
        <v>48</v>
      </c>
    </row>
    <row r="4" customFormat="false" ht="15" hidden="false" customHeight="true" outlineLevel="0" collapsed="false">
      <c r="A4" s="7" t="n">
        <v>1</v>
      </c>
      <c r="B4" s="6" t="s">
        <v>50</v>
      </c>
      <c r="C4" s="6" t="s">
        <v>100</v>
      </c>
      <c r="D4" s="6" t="s">
        <v>384</v>
      </c>
      <c r="E4" s="11" t="s">
        <v>385</v>
      </c>
      <c r="F4" s="6" t="s">
        <v>386</v>
      </c>
      <c r="G4" s="15" t="s">
        <v>79</v>
      </c>
      <c r="H4" s="6" t="s">
        <v>387</v>
      </c>
    </row>
    <row r="5" customFormat="false" ht="15" hidden="false" customHeight="true" outlineLevel="0" collapsed="false">
      <c r="A5" s="7" t="n">
        <v>2</v>
      </c>
      <c r="B5" s="6" t="s">
        <v>124</v>
      </c>
      <c r="C5" s="6" t="s">
        <v>125</v>
      </c>
      <c r="D5" s="6" t="s">
        <v>388</v>
      </c>
      <c r="E5" s="11" t="s">
        <v>389</v>
      </c>
      <c r="F5" s="6" t="s">
        <v>390</v>
      </c>
      <c r="G5" s="15" t="s">
        <v>79</v>
      </c>
      <c r="H5" s="6" t="s">
        <v>391</v>
      </c>
    </row>
    <row r="6" customFormat="false" ht="15" hidden="false" customHeight="true" outlineLevel="0" collapsed="false">
      <c r="A6" s="7" t="n">
        <v>3</v>
      </c>
      <c r="B6" s="6" t="s">
        <v>124</v>
      </c>
      <c r="C6" s="6" t="s">
        <v>392</v>
      </c>
      <c r="D6" s="6" t="s">
        <v>393</v>
      </c>
      <c r="E6" s="11" t="s">
        <v>394</v>
      </c>
      <c r="F6" s="6" t="s">
        <v>395</v>
      </c>
      <c r="G6" s="15" t="s">
        <v>79</v>
      </c>
      <c r="H6" s="6"/>
    </row>
    <row r="7" customFormat="false" ht="28.5" hidden="false" customHeight="true" outlineLevel="0" collapsed="false">
      <c r="A7" s="7" t="n">
        <v>4</v>
      </c>
      <c r="B7" s="6" t="s">
        <v>124</v>
      </c>
      <c r="C7" s="6" t="s">
        <v>133</v>
      </c>
      <c r="D7" s="6" t="s">
        <v>396</v>
      </c>
      <c r="E7" s="11" t="s">
        <v>397</v>
      </c>
      <c r="F7" s="6" t="s">
        <v>398</v>
      </c>
      <c r="G7" s="15" t="s">
        <v>79</v>
      </c>
      <c r="H7" s="6" t="s">
        <v>399</v>
      </c>
    </row>
    <row r="8" customFormat="false" ht="28.5" hidden="false" customHeight="true" outlineLevel="0" collapsed="false">
      <c r="A8" s="7" t="n">
        <v>5</v>
      </c>
      <c r="B8" s="6" t="s">
        <v>219</v>
      </c>
      <c r="C8" s="6" t="s">
        <v>219</v>
      </c>
      <c r="D8" s="6" t="s">
        <v>400</v>
      </c>
      <c r="E8" s="11" t="s">
        <v>401</v>
      </c>
      <c r="F8" s="6" t="s">
        <v>402</v>
      </c>
      <c r="G8" s="15" t="s">
        <v>59</v>
      </c>
      <c r="H8" s="6" t="s">
        <v>403</v>
      </c>
    </row>
    <row r="9" customFormat="false" ht="15" hidden="false" customHeight="true" outlineLevel="0" collapsed="false">
      <c r="A9" s="7" t="n">
        <v>6</v>
      </c>
      <c r="B9" s="6" t="s">
        <v>219</v>
      </c>
      <c r="C9" s="6" t="s">
        <v>219</v>
      </c>
      <c r="D9" s="6" t="s">
        <v>404</v>
      </c>
      <c r="E9" s="11" t="s">
        <v>405</v>
      </c>
      <c r="F9" s="6" t="s">
        <v>406</v>
      </c>
      <c r="G9" s="15" t="s">
        <v>59</v>
      </c>
      <c r="H9" s="6" t="s">
        <v>407</v>
      </c>
    </row>
    <row r="10" customFormat="false" ht="15" hidden="false" customHeight="true" outlineLevel="0" collapsed="false">
      <c r="A10" s="7" t="n">
        <v>7</v>
      </c>
      <c r="B10" s="6" t="s">
        <v>219</v>
      </c>
      <c r="C10" s="6" t="s">
        <v>219</v>
      </c>
      <c r="D10" s="6" t="s">
        <v>408</v>
      </c>
      <c r="E10" s="11" t="s">
        <v>409</v>
      </c>
      <c r="F10" s="6" t="s">
        <v>406</v>
      </c>
      <c r="G10" s="15" t="s">
        <v>79</v>
      </c>
      <c r="H10" s="6"/>
    </row>
    <row r="11" customFormat="false" ht="28.5" hidden="false" customHeight="true" outlineLevel="0" collapsed="false">
      <c r="A11" s="7" t="n">
        <v>8</v>
      </c>
      <c r="B11" s="6" t="s">
        <v>286</v>
      </c>
      <c r="C11" s="6" t="s">
        <v>410</v>
      </c>
      <c r="D11" s="6" t="s">
        <v>411</v>
      </c>
      <c r="E11" s="11" t="s">
        <v>412</v>
      </c>
      <c r="F11" s="6" t="s">
        <v>413</v>
      </c>
      <c r="G11" s="15" t="s">
        <v>59</v>
      </c>
      <c r="H11" s="6" t="s">
        <v>414</v>
      </c>
    </row>
    <row r="12" customFormat="false" ht="28.5" hidden="false" customHeight="true" outlineLevel="0" collapsed="false">
      <c r="A12" s="7" t="n">
        <v>9</v>
      </c>
      <c r="B12" s="6" t="s">
        <v>286</v>
      </c>
      <c r="C12" s="6" t="s">
        <v>410</v>
      </c>
      <c r="D12" s="6" t="s">
        <v>415</v>
      </c>
      <c r="E12" s="11" t="s">
        <v>416</v>
      </c>
      <c r="F12" s="6" t="s">
        <v>417</v>
      </c>
      <c r="G12" s="15" t="s">
        <v>59</v>
      </c>
      <c r="H12" s="6" t="s">
        <v>418</v>
      </c>
    </row>
    <row r="13" customFormat="false" ht="15" hidden="false" customHeight="true" outlineLevel="0" collapsed="false">
      <c r="A13" s="7" t="n">
        <v>10</v>
      </c>
      <c r="B13" s="6" t="s">
        <v>286</v>
      </c>
      <c r="C13" s="6" t="s">
        <v>410</v>
      </c>
      <c r="D13" s="6" t="s">
        <v>419</v>
      </c>
      <c r="E13" s="11" t="s">
        <v>420</v>
      </c>
      <c r="F13" s="6" t="s">
        <v>421</v>
      </c>
      <c r="G13" s="15" t="s">
        <v>59</v>
      </c>
      <c r="H13" s="6" t="s">
        <v>422</v>
      </c>
    </row>
    <row r="14" customFormat="false" ht="15" hidden="false" customHeight="true" outlineLevel="0" collapsed="false">
      <c r="A14" s="7" t="n">
        <v>11</v>
      </c>
      <c r="B14" s="6" t="s">
        <v>297</v>
      </c>
      <c r="C14" s="6" t="s">
        <v>302</v>
      </c>
      <c r="D14" s="6" t="s">
        <v>423</v>
      </c>
      <c r="E14" s="11" t="s">
        <v>424</v>
      </c>
      <c r="F14" s="6" t="s">
        <v>425</v>
      </c>
      <c r="G14" s="15" t="s">
        <v>79</v>
      </c>
      <c r="H14" s="6"/>
    </row>
    <row r="15" customFormat="false" ht="28.5" hidden="false" customHeight="true" outlineLevel="0" collapsed="false">
      <c r="A15" s="7" t="n">
        <v>12</v>
      </c>
      <c r="B15" s="6" t="s">
        <v>306</v>
      </c>
      <c r="C15" s="6" t="s">
        <v>306</v>
      </c>
      <c r="D15" s="6" t="s">
        <v>426</v>
      </c>
      <c r="E15" s="11" t="s">
        <v>427</v>
      </c>
      <c r="F15" s="6" t="s">
        <v>428</v>
      </c>
      <c r="G15" s="15" t="s">
        <v>59</v>
      </c>
      <c r="H15" s="6" t="s">
        <v>429</v>
      </c>
    </row>
    <row r="16" customFormat="false" ht="28.5" hidden="false" customHeight="true" outlineLevel="0" collapsed="false">
      <c r="A16" s="7" t="n">
        <v>13</v>
      </c>
      <c r="B16" s="6" t="s">
        <v>306</v>
      </c>
      <c r="C16" s="6" t="s">
        <v>306</v>
      </c>
      <c r="D16" s="6" t="s">
        <v>430</v>
      </c>
      <c r="E16" s="11" t="s">
        <v>431</v>
      </c>
      <c r="F16" s="6" t="s">
        <v>432</v>
      </c>
      <c r="G16" s="15" t="s">
        <v>59</v>
      </c>
      <c r="H16" s="6" t="s">
        <v>433</v>
      </c>
    </row>
    <row r="17" customFormat="false" ht="28.5" hidden="false" customHeight="true" outlineLevel="0" collapsed="false">
      <c r="A17" s="7" t="n">
        <v>14</v>
      </c>
      <c r="B17" s="6" t="s">
        <v>434</v>
      </c>
      <c r="C17" s="6" t="s">
        <v>435</v>
      </c>
      <c r="D17" s="6" t="s">
        <v>436</v>
      </c>
      <c r="E17" s="11" t="s">
        <v>437</v>
      </c>
      <c r="F17" s="6" t="s">
        <v>438</v>
      </c>
      <c r="G17" s="15" t="s">
        <v>79</v>
      </c>
      <c r="H17" s="6"/>
    </row>
    <row r="18" customFormat="false" ht="42" hidden="false" customHeight="true" outlineLevel="0" collapsed="false">
      <c r="A18" s="7" t="n">
        <v>15</v>
      </c>
      <c r="B18" s="6" t="s">
        <v>312</v>
      </c>
      <c r="C18" s="6" t="s">
        <v>439</v>
      </c>
      <c r="D18" s="6" t="s">
        <v>440</v>
      </c>
      <c r="E18" s="11" t="s">
        <v>441</v>
      </c>
      <c r="F18" s="6" t="s">
        <v>442</v>
      </c>
      <c r="G18" s="15" t="s">
        <v>59</v>
      </c>
      <c r="H18" s="6" t="s">
        <v>443</v>
      </c>
    </row>
    <row r="19" customFormat="false" ht="28.5" hidden="false" customHeight="true" outlineLevel="0" collapsed="false">
      <c r="A19" s="7" t="n">
        <v>16</v>
      </c>
      <c r="B19" s="6" t="s">
        <v>312</v>
      </c>
      <c r="C19" s="6" t="s">
        <v>343</v>
      </c>
      <c r="D19" s="6" t="s">
        <v>444</v>
      </c>
      <c r="E19" s="11" t="s">
        <v>445</v>
      </c>
      <c r="F19" s="6" t="s">
        <v>446</v>
      </c>
      <c r="G19" s="15" t="s">
        <v>118</v>
      </c>
      <c r="H19" s="6" t="s">
        <v>447</v>
      </c>
    </row>
  </sheetData>
  <autoFilter ref="A3:H19"/>
  <mergeCells count="2">
    <mergeCell ref="A1:H1"/>
    <mergeCell ref="A2:H2"/>
  </mergeCells>
  <conditionalFormatting sqref="G4:G19">
    <cfRule type="expression" priority="2" aboveAverage="0" equalAverage="0" bottom="0" percent="0" rank="0" text="" dxfId="10">
      <formula>G4="★★★"</formula>
    </cfRule>
    <cfRule type="expression" priority="3" aboveAverage="0" equalAverage="0" bottom="0" percent="0" rank="0" text="" dxfId="11">
      <formula>G4="★★"</formula>
    </cfRule>
  </conditionalFormatting>
  <hyperlinks>
    <hyperlink ref="E4" r:id="rId1" display="http://www.fzmtr.com/html/fzdt/zpgg/index.html"/>
    <hyperlink ref="E5" r:id="rId2" display="https://campus.iguopin.com/index.php?a=com_show&amp;c=jobs&amp;id=1313&amp;m="/>
    <hyperlink ref="E6" r:id="rId3" display="https://www.iguopin.com/company?id=10685287266428509"/>
    <hyperlink ref="E7" r:id="rId4" display="https://3bhn.cscec.com/"/>
    <hyperlink ref="E8" r:id="rId5" display="http://www.jkec.com.cn/index.html"/>
    <hyperlink ref="E9" r:id="rId6" display="https://www.iguopin.com/company?id=10685380531105433"/>
    <hyperlink ref="E10" r:id="rId7" display="https://www.iguopin.com/company?id=10685380228402071"/>
    <hyperlink ref="E11" r:id="rId8" display="https://jsjkdx.jchc.cn/portal/list/index/id/18.html"/>
    <hyperlink ref="E12" r:id="rId9" display="http://www.cdg.com.cn/articleDetailV2/1166"/>
    <hyperlink ref="E13" r:id="rId10" display="https://www.jsti.com/"/>
    <hyperlink ref="E14" r:id="rId11" display="https://www.qd-metro.com/recruit.php"/>
    <hyperlink ref="E15" r:id="rId12" display="https://www.iguopin.com/company?id=10685385065949955"/>
    <hyperlink ref="E16" r:id="rId13" display="https://www.crcc.cn/col/col1643/art/2026/art_564131610.html"/>
    <hyperlink ref="E17" r:id="rId14" display="https://bgigc.zhiye.com/Campus"/>
    <hyperlink ref="E18" r:id="rId15" display="https://www.bmedi.cn/"/>
    <hyperlink ref="E19" r:id="rId16" display="http://job.sinopec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3" min="3" style="0" width="80"/>
  </cols>
  <sheetData>
    <row r="1" customFormat="false" ht="24" hidden="false" customHeight="true" outlineLevel="0" collapsed="false">
      <c r="A1" s="1" t="s">
        <v>448</v>
      </c>
      <c r="B1" s="1"/>
      <c r="C1" s="1"/>
    </row>
    <row r="2" customFormat="false" ht="42" hidden="false" customHeight="true" outlineLevel="0" collapsed="false">
      <c r="A2" s="9" t="s">
        <v>449</v>
      </c>
      <c r="B2" s="9"/>
      <c r="C2" s="9"/>
    </row>
    <row r="3" customFormat="false" ht="30" hidden="false" customHeight="true" outlineLevel="0" collapsed="false">
      <c r="A3" s="5" t="s">
        <v>450</v>
      </c>
      <c r="B3" s="5" t="s">
        <v>451</v>
      </c>
      <c r="C3" s="5" t="s">
        <v>11</v>
      </c>
    </row>
    <row r="4" customFormat="false" ht="28.5" hidden="false" customHeight="true" outlineLevel="0" collapsed="false">
      <c r="A4" s="6" t="s">
        <v>452</v>
      </c>
      <c r="B4" s="11" t="s">
        <v>109</v>
      </c>
      <c r="C4" s="6" t="s">
        <v>453</v>
      </c>
    </row>
    <row r="5" customFormat="false" ht="28.5" hidden="false" customHeight="true" outlineLevel="0" collapsed="false">
      <c r="A5" s="6" t="s">
        <v>454</v>
      </c>
      <c r="B5" s="11" t="s">
        <v>157</v>
      </c>
      <c r="C5" s="6" t="s">
        <v>455</v>
      </c>
    </row>
    <row r="6" customFormat="false" ht="28.5" hidden="false" customHeight="true" outlineLevel="0" collapsed="false">
      <c r="A6" s="6" t="s">
        <v>315</v>
      </c>
      <c r="B6" s="11" t="s">
        <v>456</v>
      </c>
      <c r="C6" s="6" t="s">
        <v>457</v>
      </c>
    </row>
    <row r="7" customFormat="false" ht="15" hidden="false" customHeight="true" outlineLevel="0" collapsed="false">
      <c r="A7" s="6" t="s">
        <v>458</v>
      </c>
      <c r="B7" s="11" t="s">
        <v>459</v>
      </c>
      <c r="C7" s="6" t="s">
        <v>460</v>
      </c>
    </row>
    <row r="8" customFormat="false" ht="15" hidden="false" customHeight="true" outlineLevel="0" collapsed="false">
      <c r="A8" s="6" t="s">
        <v>461</v>
      </c>
      <c r="B8" s="11" t="s">
        <v>345</v>
      </c>
      <c r="C8" s="17" t="s">
        <v>462</v>
      </c>
    </row>
    <row r="9" customFormat="false" ht="28.5" hidden="false" customHeight="true" outlineLevel="0" collapsed="false">
      <c r="A9" s="6" t="s">
        <v>102</v>
      </c>
      <c r="B9" s="6" t="s">
        <v>463</v>
      </c>
      <c r="C9" s="6" t="s">
        <v>464</v>
      </c>
    </row>
    <row r="10" customFormat="false" ht="15" hidden="false" customHeight="true" outlineLevel="0" collapsed="false">
      <c r="A10" s="6" t="s">
        <v>465</v>
      </c>
      <c r="B10" s="11" t="s">
        <v>366</v>
      </c>
      <c r="C10" s="6"/>
    </row>
    <row r="11" customFormat="false" ht="15" hidden="false" customHeight="true" outlineLevel="0" collapsed="false">
      <c r="A11" s="6" t="s">
        <v>466</v>
      </c>
      <c r="B11" s="11" t="s">
        <v>349</v>
      </c>
      <c r="C11" s="6"/>
    </row>
    <row r="12" customFormat="false" ht="15" hidden="false" customHeight="true" outlineLevel="0" collapsed="false">
      <c r="A12" s="6" t="s">
        <v>209</v>
      </c>
      <c r="B12" s="11" t="s">
        <v>201</v>
      </c>
      <c r="C12" s="6"/>
    </row>
    <row r="13" customFormat="false" ht="15" hidden="false" customHeight="true" outlineLevel="0" collapsed="false">
      <c r="A13" s="6" t="s">
        <v>467</v>
      </c>
      <c r="B13" s="11" t="s">
        <v>468</v>
      </c>
      <c r="C13" s="6"/>
    </row>
    <row r="14" customFormat="false" ht="15" hidden="false" customHeight="true" outlineLevel="0" collapsed="false">
      <c r="A14" s="6" t="s">
        <v>469</v>
      </c>
      <c r="B14" s="11" t="s">
        <v>470</v>
      </c>
      <c r="C14" s="6"/>
    </row>
    <row r="15" customFormat="false" ht="28.5" hidden="false" customHeight="true" outlineLevel="0" collapsed="false">
      <c r="A15" s="6" t="s">
        <v>471</v>
      </c>
      <c r="B15" s="11" t="s">
        <v>472</v>
      </c>
      <c r="C15" s="17" t="s">
        <v>473</v>
      </c>
    </row>
    <row r="16" customFormat="false" ht="15" hidden="false" customHeight="true" outlineLevel="0" collapsed="false">
      <c r="A16" s="6" t="s">
        <v>474</v>
      </c>
      <c r="B16" s="11" t="s">
        <v>475</v>
      </c>
      <c r="C16" s="6" t="s">
        <v>476</v>
      </c>
    </row>
  </sheetData>
  <mergeCells count="2">
    <mergeCell ref="A1:C1"/>
    <mergeCell ref="A2:C2"/>
  </mergeCells>
  <hyperlinks>
    <hyperlink ref="B4" r:id="rId1" display="https://cscec.iguopin.com/job-campus"/>
    <hyperlink ref="B5" r:id="rId2" display="https://zhaopin.ccccltd.cn/custom/index"/>
    <hyperlink ref="B6" r:id="rId3" display="https://www.crec.cn/"/>
    <hyperlink ref="B7" r:id="rId4" display="https://www.crcc.cn/"/>
    <hyperlink ref="B8" r:id="rId5" display="https://ceec.iguopin.com/job"/>
    <hyperlink ref="B10" r:id="rId6" display="https://minmetals.iguopin.com/job"/>
    <hyperlink ref="B11" r:id="rId7" display="https://cnbmjob.iguopin.com/notice"/>
    <hyperlink ref="B12" r:id="rId8" display="https://cmhk.zhiye.com/custom/xiaoyuan?hideAll=true"/>
    <hyperlink ref="B13" r:id="rId9" display="https://cujiuye.iguopin.com/"/>
    <hyperlink ref="B14" r:id="rId10" display="https://xiaoyuan.iguopin.com/?m=Mobile"/>
    <hyperlink ref="B15" r:id="rId11" display="https://www.ncss.cn/student/24365"/>
    <hyperlink ref="B16" r:id="rId12" display="https://bys.hqu.edu.cn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2026-10-21T10:46:52Z</dcterms:created>
  <dc:creator>openpyxl</dc:creator>
  <dc:description/>
  <dc:language>en-US</dc:language>
  <cp:lastModifiedBy/>
  <dcterms:modified xsi:type="dcterms:W3CDTF">2026-10-21T10:46:52Z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