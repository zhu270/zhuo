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与统计" sheetId="1" state="visible" r:id="rId3"/>
    <sheet name="重点推荐" sheetId="2" state="visible" r:id="rId4"/>
    <sheet name="27届已发布" sheetId="3" state="visible" r:id="rId5"/>
    <sheet name="待发布-往年参考" sheetId="4" state="visible" r:id="rId6"/>
    <sheet name="网申入口" sheetId="5" state="visible" r:id="rId7"/>
  </sheets>
  <definedNames>
    <definedName function="false" hidden="false" localSheetId="2" name="_xlnm.Print_Titles" vbProcedure="false">27届已发布!$3:$3</definedName>
    <definedName function="false" hidden="true" localSheetId="2" name="_xlnm._FilterDatabase" vbProcedure="false">27届已发布!$A$3:$P$84</definedName>
    <definedName function="false" hidden="false" localSheetId="3" name="_xlnm.Print_Titles" vbProcedure="false">'待发布-往年参考'!$3:$3</definedName>
    <definedName function="false" hidden="true" localSheetId="3" name="_xlnm._FilterDatabase" vbProcedure="false">'待发布-往年参考'!$A$3:$K$138</definedName>
    <definedName function="false" hidden="false" localSheetId="4" name="_xlnm.Print_Titles" vbProcedure="false">网申入口!$3:$3</definedName>
    <definedName function="false" hidden="false" localSheetId="1" name="_xlnm.Print_Titles" vbProcedure="false">重点推荐!$3:$3</definedName>
    <definedName function="false" hidden="true" localSheetId="1" name="_xlnm._FilterDatabase" vbProcedure="false">重点推荐!$A$3:$I$68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<sst xmlns="http://schemas.openxmlformats.org/spreadsheetml/2006/main" count="2865" uniqueCount="1050">
  <si>
    <r>
      <rPr>
        <b val="true"/>
        <sz val="14"/>
        <color rgb="FF1F4E78"/>
        <rFont val="WenQuanYi Zen Hei"/>
        <family val="2"/>
      </rPr>
      <t xml:space="preserve">沿海地区土木类 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届秋招岗位汇总 —— 说明与统计</t>
    </r>
  </si>
  <si>
    <t xml:space="preserve">求职者</t>
  </si>
  <si>
    <r>
      <rPr>
        <sz val="10"/>
        <rFont val="WenQuanYi Zen Hei"/>
        <family val="2"/>
      </rPr>
      <t xml:space="preserve">王卓｜华侨大学 土木工程（结构工程）学术型硕士｜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</t>
    </r>
  </si>
  <si>
    <t xml:space="preserve">求职意向</t>
  </si>
  <si>
    <r>
      <rPr>
        <sz val="10"/>
        <rFont val="WenQuanYi Zen Hei"/>
        <family val="2"/>
      </rPr>
      <t xml:space="preserve">钢结构工程师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结构设计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桥梁工程</t>
    </r>
  </si>
  <si>
    <t xml:space="preserve">研究方向</t>
  </si>
  <si>
    <r>
      <rPr>
        <sz val="10"/>
        <rFont val="WenQuanYi Zen Hei"/>
        <family val="2"/>
      </rPr>
      <t xml:space="preserve">桥梁钢结构涂层腐蚀与损伤识别（盐雾试验、</t>
    </r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、红外热成像、三维扫描、</t>
    </r>
    <r>
      <rPr>
        <sz val="10"/>
        <rFont val="Arial"/>
        <family val="0"/>
        <charset val="1"/>
      </rPr>
      <t xml:space="preserve">SEM/EDS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XRD</t>
    </r>
    <r>
      <rPr>
        <sz val="10"/>
        <rFont val="WenQuanYi Zen Hei"/>
        <family val="2"/>
      </rPr>
      <t xml:space="preserve">）</t>
    </r>
  </si>
  <si>
    <t xml:space="preserve">检索范围</t>
  </si>
  <si>
    <t xml:space="preserve">辽宁、河北、天津、山东、江苏、上海、浙江、福建、广东、广西、海南（另含总部在外、在沿海有岗位的全国性单位）</t>
  </si>
  <si>
    <t xml:space="preserve">检索日期</t>
  </si>
  <si>
    <t xml:space="preserve">2026-10-20</t>
  </si>
  <si>
    <t xml:space="preserve">信息来源</t>
  </si>
  <si>
    <t xml:space="preserve">牛企直聘校招、国企招聘网等第三方转载，以及高校就业网。本环境无法直接打开企业官网，日期与入口请投递前二次核对。</t>
  </si>
  <si>
    <t xml:space="preserve">统计项（自动计算）</t>
  </si>
  <si>
    <t xml:space="preserve">数量</t>
  </si>
  <si>
    <t xml:space="preserve">说明</t>
  </si>
  <si>
    <t xml:space="preserve">已发布公告单位数</t>
  </si>
  <si>
    <r>
      <rPr>
        <sz val="10"/>
        <rFont val="Arial"/>
        <family val="0"/>
        <charset val="1"/>
      </rPr>
      <t xml:space="preserve">“27</t>
    </r>
    <r>
      <rPr>
        <sz val="10"/>
        <rFont val="WenQuanYi Zen Hei"/>
        <family val="2"/>
      </rPr>
      <t xml:space="preserve">届已发布”工作表</t>
    </r>
  </si>
  <si>
    <t xml:space="preserve">其中：进行中</t>
  </si>
  <si>
    <r>
      <rPr>
        <sz val="10"/>
        <rFont val="WenQuanYi Zen Hei"/>
        <family val="2"/>
      </rPr>
      <t xml:space="preserve">截止日期距今超过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</t>
    </r>
  </si>
  <si>
    <r>
      <rPr>
        <sz val="10"/>
        <rFont val="WenQuanYi Zen Hei"/>
        <family val="2"/>
      </rPr>
      <t xml:space="preserve">其中：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天内截止</t>
    </r>
  </si>
  <si>
    <t xml:space="preserve">优先处理</t>
  </si>
  <si>
    <t xml:space="preserve">其中：今日截止</t>
  </si>
  <si>
    <r>
      <rPr>
        <sz val="10"/>
        <rFont val="WenQuanYi Zen Hei"/>
        <family val="2"/>
      </rPr>
      <t xml:space="preserve">其中：已启动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截止待核</t>
    </r>
  </si>
  <si>
    <t xml:space="preserve">已见公告但未检索到截止日，尽快去官网确认</t>
  </si>
  <si>
    <t xml:space="preserve">其中：已截止</t>
  </si>
  <si>
    <r>
      <rPr>
        <sz val="10"/>
        <rFont val="WenQuanYi Zen Hei"/>
        <family val="2"/>
      </rPr>
      <t xml:space="preserve">可联系</t>
    </r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问补录或等春招</t>
    </r>
  </si>
  <si>
    <t xml:space="preserve">已发布中高匹配（★★★）</t>
  </si>
  <si>
    <r>
      <rPr>
        <sz val="10"/>
        <rFont val="WenQuanYi Zen Hei"/>
        <family val="2"/>
      </rPr>
      <t xml:space="preserve">待发布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往年参考单位数</t>
    </r>
  </si>
  <si>
    <r>
      <rPr>
        <sz val="10"/>
        <rFont val="WenQuanYi Zen Hei"/>
        <family val="2"/>
      </rPr>
      <t xml:space="preserve">“待发布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往年参考”工作表</t>
    </r>
  </si>
  <si>
    <t xml:space="preserve">全部单位合计</t>
  </si>
  <si>
    <t xml:space="preserve">省份</t>
  </si>
  <si>
    <t xml:space="preserve">已发布（家）</t>
  </si>
  <si>
    <r>
      <rPr>
        <b val="true"/>
        <sz val="10"/>
        <color rgb="FFFFFFFF"/>
        <rFont val="WenQuanYi Zen Hei"/>
        <family val="2"/>
      </rPr>
      <t xml:space="preserve">待发布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参考（家）</t>
    </r>
  </si>
  <si>
    <t xml:space="preserve">备注</t>
  </si>
  <si>
    <t xml:space="preserve">福建</t>
  </si>
  <si>
    <t xml:space="preserve">学校所在地，本地单位有地缘优势</t>
  </si>
  <si>
    <t xml:space="preserve">广东</t>
  </si>
  <si>
    <t xml:space="preserve">上海</t>
  </si>
  <si>
    <t xml:space="preserve">浙江</t>
  </si>
  <si>
    <t xml:space="preserve">江苏</t>
  </si>
  <si>
    <t xml:space="preserve">山东</t>
  </si>
  <si>
    <t xml:space="preserve">天津</t>
  </si>
  <si>
    <t xml:space="preserve">河北</t>
  </si>
  <si>
    <t xml:space="preserve">辽宁</t>
  </si>
  <si>
    <t xml:space="preserve">广西</t>
  </si>
  <si>
    <t xml:space="preserve">海南</t>
  </si>
  <si>
    <t xml:space="preserve">多地</t>
  </si>
  <si>
    <r>
      <rPr>
        <sz val="10"/>
        <rFont val="WenQuanYi Zen Hei"/>
        <family val="2"/>
      </rPr>
      <t xml:space="preserve">全国性集团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总部在内陆但在沿海有岗位</t>
    </r>
  </si>
  <si>
    <t xml:space="preserve">匹配度说明</t>
  </si>
  <si>
    <t xml:space="preserve">★★★ 高度对口</t>
  </si>
  <si>
    <r>
      <rPr>
        <sz val="10"/>
        <rFont val="WenQuanYi Zen Hei"/>
        <family val="2"/>
      </rPr>
      <t xml:space="preserve">钢结构企业、桥梁设计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施工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检测、结构设计院、检测鉴定与腐蚀防护科研院所</t>
    </r>
  </si>
  <si>
    <t xml:space="preserve">★★ 较对口</t>
  </si>
  <si>
    <t xml:space="preserve">路桥港航施工技术岗、基础设施、地铁土建、设计院非结构岗、地产甲方土建工程岗</t>
  </si>
  <si>
    <t xml:space="preserve">★ 一般</t>
  </si>
  <si>
    <r>
      <rPr>
        <sz val="10"/>
        <rFont val="WenQuanYi Zen Hei"/>
        <family val="2"/>
      </rPr>
      <t xml:space="preserve">房建施工管理、综合类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非土木主业企业，可作保底</t>
    </r>
  </si>
  <si>
    <t xml:space="preserve">投递建议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</si>
  <si>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先处理快截止的：北京市政总院 </t>
    </r>
    <r>
      <rPr>
        <sz val="10"/>
        <rFont val="Arial"/>
        <family val="0"/>
        <charset val="1"/>
      </rPr>
      <t xml:space="preserve">10-23</t>
    </r>
    <r>
      <rPr>
        <sz val="10"/>
        <rFont val="WenQuanYi Zen Hei"/>
        <family val="2"/>
      </rPr>
      <t xml:space="preserve">、中冶建研院和中冶北方 </t>
    </r>
    <r>
      <rPr>
        <sz val="10"/>
        <rFont val="Arial"/>
        <family val="0"/>
        <charset val="1"/>
      </rPr>
      <t xml:space="preserve">10-21</t>
    </r>
    <r>
      <rPr>
        <sz val="10"/>
        <rFont val="WenQuanYi Zen Hei"/>
        <family val="2"/>
      </rPr>
      <t xml:space="preserve">（需核实）、中铁广州局市政环保 </t>
    </r>
    <r>
      <rPr>
        <sz val="10"/>
        <rFont val="Arial"/>
        <family val="0"/>
        <charset val="1"/>
      </rPr>
      <t xml:space="preserve">10-24</t>
    </r>
    <r>
      <rPr>
        <sz val="10"/>
        <rFont val="WenQuanYi Zen Hei"/>
        <family val="2"/>
      </rPr>
      <t xml:space="preserve">、中交三航局厦门批次 </t>
    </r>
    <r>
      <rPr>
        <sz val="10"/>
        <rFont val="Arial"/>
        <family val="0"/>
        <charset val="1"/>
      </rPr>
      <t xml:space="preserve">10-26</t>
    </r>
    <r>
      <rPr>
        <sz val="10"/>
        <rFont val="WenQuanYi Zen Hei"/>
        <family val="2"/>
      </rPr>
      <t xml:space="preserve">；中交一航局、中建八局东北公司、中国能建 </t>
    </r>
    <r>
      <rPr>
        <sz val="10"/>
        <rFont val="Arial"/>
        <family val="0"/>
        <charset val="1"/>
      </rPr>
      <t xml:space="preserve">10-30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</si>
  <si>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中建系（中建科工、中建三局、中建交通、中建一局等）大多要求先参加“中国建筑校园招聘统一考试”，先报名考试再选岗。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</si>
  <si>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方向最对口的：中建科工（钢结构）、中铁宝桥、中交三航南通海洋（钢结构制造）、江苏交控（硕士桥梁岗）、上海建科“建科栋梁计划”和中冶建研院（检测鉴定）、中国铁建大桥局（桥梁）。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</si>
  <si>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腐蚀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耐久性方向的单位岗位少但很对口：中交四航工程研究院、</t>
    </r>
    <r>
      <rPr>
        <sz val="10"/>
        <rFont val="Arial"/>
        <family val="0"/>
        <charset val="1"/>
      </rPr>
      <t xml:space="preserve">725</t>
    </r>
    <r>
      <rPr>
        <sz val="10"/>
        <rFont val="WenQuanYi Zen Hei"/>
        <family val="2"/>
      </rPr>
      <t xml:space="preserve">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双瑞、天科院、青岛海洋腐蚀研究所。建议在简历突出 </t>
    </r>
    <r>
      <rPr>
        <sz val="10"/>
        <rFont val="Arial"/>
        <family val="0"/>
        <charset val="1"/>
      </rPr>
      <t xml:space="preserve">1440h </t>
    </r>
    <r>
      <rPr>
        <sz val="10"/>
        <rFont val="WenQuanYi Zen Hei"/>
        <family val="2"/>
      </rPr>
      <t xml:space="preserve">盐雾试验和 </t>
    </r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、红外检测经历，直接发邮件给 </t>
    </r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，或请导师推荐。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</si>
  <si>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福建本地：厦门路桥、建发合诚、福建省建科院、厦门市建科院、中建海峡、福建建工等暂未见公告，请盯华侨大学就业网和土木学院的土建专场、双选会。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</si>
  <si>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已截止的大设计院（中铁大桥院、铁四院、同济设计、中铁设计）通常有补录和春招；华设集团往年 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月中旬才开网申，时间来得及。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</si>
  <si>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WenQuanYi Zen Hei"/>
        <family val="2"/>
      </rPr>
      <t xml:space="preserve">部分设计院要求英语六级（如华东电力设计院），四级在设计院竞争中是短板，建议尽快补考六级。</t>
    </r>
  </si>
  <si>
    <t xml:space="preserve">重点推荐：与简历高度匹配（★★★）的单位</t>
  </si>
  <si>
    <r>
      <rPr>
        <i val="true"/>
        <sz val="9"/>
        <color rgb="FF595959"/>
        <rFont val="Arial"/>
        <family val="0"/>
        <charset val="1"/>
      </rPr>
      <t xml:space="preserve">A</t>
    </r>
    <r>
      <rPr>
        <i val="true"/>
        <sz val="9"/>
        <color rgb="FF595959"/>
        <rFont val="WenQuanYi Zen Hei"/>
        <family val="2"/>
      </rPr>
      <t xml:space="preserve">＝仍可投递，按截止日期排序；</t>
    </r>
    <r>
      <rPr>
        <i val="true"/>
        <sz val="9"/>
        <color rgb="FF595959"/>
        <rFont val="Arial"/>
        <family val="0"/>
        <charset val="1"/>
      </rPr>
      <t xml:space="preserve">B</t>
    </r>
    <r>
      <rPr>
        <i val="true"/>
        <sz val="9"/>
        <color rgb="FF595959"/>
        <rFont val="WenQuanYi Zen Hei"/>
        <family val="2"/>
      </rPr>
      <t xml:space="preserve">＝已截止，建议联系</t>
    </r>
    <r>
      <rPr>
        <i val="true"/>
        <sz val="9"/>
        <color rgb="FF595959"/>
        <rFont val="Arial"/>
        <family val="0"/>
        <charset val="1"/>
      </rPr>
      <t xml:space="preserve">HR</t>
    </r>
    <r>
      <rPr>
        <i val="true"/>
        <sz val="9"/>
        <color rgb="FF595959"/>
        <rFont val="WenQuanYi Zen Hei"/>
        <family val="2"/>
      </rPr>
      <t xml:space="preserve">问补录或等春招；</t>
    </r>
    <r>
      <rPr>
        <i val="true"/>
        <sz val="9"/>
        <color rgb="FF595959"/>
        <rFont val="Arial"/>
        <family val="0"/>
        <charset val="1"/>
      </rPr>
      <t xml:space="preserve">C</t>
    </r>
    <r>
      <rPr>
        <i val="true"/>
        <sz val="9"/>
        <color rgb="FF595959"/>
        <rFont val="WenQuanYi Zen Hei"/>
        <family val="2"/>
      </rPr>
      <t xml:space="preserve">＝</t>
    </r>
    <r>
      <rPr>
        <i val="true"/>
        <sz val="9"/>
        <color rgb="FF595959"/>
        <rFont val="Arial"/>
        <family val="0"/>
        <charset val="1"/>
      </rPr>
      <t xml:space="preserve">2027</t>
    </r>
    <r>
      <rPr>
        <i val="true"/>
        <sz val="9"/>
        <color rgb="FF595959"/>
        <rFont val="WenQuanYi Zen Hei"/>
        <family val="2"/>
      </rPr>
      <t xml:space="preserve">届公告未发布，建议主动投递简历或盯紧官方渠道。</t>
    </r>
  </si>
  <si>
    <t xml:space="preserve">优先级</t>
  </si>
  <si>
    <t xml:space="preserve">单位名称</t>
  </si>
  <si>
    <t xml:space="preserve">地点</t>
  </si>
  <si>
    <t xml:space="preserve">推荐方向</t>
  </si>
  <si>
    <t xml:space="preserve">截止日期</t>
  </si>
  <si>
    <t xml:space="preserve">状态</t>
  </si>
  <si>
    <t xml:space="preserve">距截止</t>
  </si>
  <si>
    <t xml:space="preserve">投递入口</t>
  </si>
  <si>
    <t xml:space="preserve">推荐理由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</si>
  <si>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立即投递</t>
    </r>
  </si>
  <si>
    <t xml:space="preserve">中冶建筑研究总院有限公司（中冶建研院）</t>
  </si>
  <si>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天津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深圳等（另有海南、湛江分支）</t>
    </r>
  </si>
  <si>
    <r>
      <rPr>
        <sz val="10"/>
        <rFont val="WenQuanYi Zen Hei"/>
        <family val="2"/>
      </rPr>
      <t xml:space="preserve">检测工程师、检测辅助岗、技术咨询工程师、结构工程师、节能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环保工程师、科研管理岗、博士岗</t>
    </r>
  </si>
  <si>
    <r>
      <rPr>
        <sz val="10"/>
        <rFont val="WenQuanYi Zen Hei"/>
        <family val="2"/>
      </rPr>
      <t xml:space="preserve">官方招聘渠道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</si>
  <si>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t xml:space="preserve">国内检测鉴定加固龙头，钢结构检测、腐蚀评估对口；即将截止</t>
  </si>
  <si>
    <t xml:space="preserve">北京市市政工程设计研究总院有限公司（区域分院）</t>
  </si>
  <si>
    <r>
      <rPr>
        <sz val="10"/>
        <rFont val="WenQuanYi Zen Hei"/>
        <family val="2"/>
      </rPr>
      <t xml:space="preserve">深圳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东莞；东部区域含厦门</t>
    </r>
  </si>
  <si>
    <r>
      <rPr>
        <sz val="10"/>
        <rFont val="WenQuanYi Zen Hei"/>
        <family val="2"/>
      </rPr>
      <t xml:space="preserve">土木工程类（市政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道路设计）</t>
    </r>
  </si>
  <si>
    <r>
      <rPr>
        <sz val="10"/>
        <rFont val="WenQuanYi Zen Hei"/>
        <family val="2"/>
      </rPr>
      <t xml:space="preserve">邮箱投递（简历命名：姓名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院校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专业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意向工作地点）；官网 </t>
    </r>
    <r>
      <rPr>
        <sz val="10"/>
        <rFont val="Arial"/>
        <family val="0"/>
        <charset val="1"/>
      </rPr>
      <t xml:space="preserve">www.bmedi.cn</t>
    </r>
  </si>
  <si>
    <r>
      <rPr>
        <sz val="10"/>
        <rFont val="WenQuanYi Zen Hei"/>
        <family val="2"/>
      </rPr>
      <t xml:space="preserve">市政桥梁设计院，区域分院含厦门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深圳；结构硕士对口，即将截止</t>
    </r>
  </si>
  <si>
    <t xml:space="preserve">中建科工集团有限公司（原中建钢构）</t>
  </si>
  <si>
    <r>
      <rPr>
        <sz val="10"/>
        <rFont val="WenQuanYi Zen Hei"/>
        <family val="2"/>
      </rPr>
      <t xml:space="preserve">深圳（全国：含福建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浙江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江苏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山东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天津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河北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海南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广西）</t>
    </r>
  </si>
  <si>
    <t xml:space="preserve">建筑工程类（土木工程、智能建造、工程造价、工程管理、安全工程等）、创新业务类、职能管理类</t>
  </si>
  <si>
    <r>
      <rPr>
        <sz val="10"/>
        <rFont val="WenQuanYi Zen Hei"/>
        <family val="2"/>
      </rPr>
      <t xml:space="preserve">已启动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截止待核</t>
    </r>
  </si>
  <si>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 </t>
    </r>
    <r>
      <rPr>
        <sz val="10"/>
        <rFont val="Arial"/>
        <family val="0"/>
        <charset val="1"/>
      </rPr>
      <t xml:space="preserve">ssr.cscec.com</t>
    </r>
    <r>
      <rPr>
        <sz val="10"/>
        <rFont val="WenQuanYi Zen Hei"/>
        <family val="2"/>
      </rPr>
      <t xml:space="preserve">；移动端扫码；官网“人力资源→招聘信息”</t>
    </r>
  </si>
  <si>
    <t xml:space="preserve">国内最大钢结构集团，与钢结构工程师意向、桥梁钢结构腐蚀课题高度契合；首选，尽快投递</t>
  </si>
  <si>
    <t xml:space="preserve">广东省建筑设计研究院集团股份有限公司</t>
  </si>
  <si>
    <t xml:space="preserve">广州</t>
  </si>
  <si>
    <t xml:space="preserve">建筑结构设计等设计岗</t>
  </si>
  <si>
    <r>
      <rPr>
        <sz val="10"/>
        <rFont val="WenQuanYi Zen Hei"/>
        <family val="2"/>
      </rPr>
      <t xml:space="preserve">网申（往届入口 </t>
    </r>
    <r>
      <rPr>
        <sz val="10"/>
        <rFont val="Arial"/>
        <family val="0"/>
        <charset val="1"/>
      </rPr>
      <t xml:space="preserve">gdadri.zhiye.com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</si>
  <si>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省级大院，结构设计岗对口；宣传“保底年薪最高</t>
    </r>
    <r>
      <rPr>
        <sz val="10"/>
        <rFont val="Arial"/>
        <family val="0"/>
        <charset val="1"/>
      </rPr>
      <t xml:space="preserve">35</t>
    </r>
    <r>
      <rPr>
        <sz val="10"/>
        <rFont val="WenQuanYi Zen Hei"/>
        <family val="2"/>
      </rPr>
      <t xml:space="preserve">万”（以公告为准）</t>
    </r>
  </si>
  <si>
    <r>
      <rPr>
        <sz val="10"/>
        <rFont val="WenQuanYi Zen Hei"/>
        <family val="2"/>
      </rPr>
      <t xml:space="preserve">上海建科咨询集团“建科栋梁计划”（含上海市建筑科学研究院等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家单位）</t>
    </r>
  </si>
  <si>
    <t xml:space="preserve">上海（另有天津、南京、武汉宣讲）</t>
  </si>
  <si>
    <t xml:space="preserve">检测工程师、结构鉴定工程师、工程咨询等</t>
  </si>
  <si>
    <r>
      <rPr>
        <sz val="10"/>
        <rFont val="WenQuanYi Zen Hei"/>
        <family val="2"/>
      </rPr>
      <t xml:space="preserve">建科集团官网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公众号；宣讲：</t>
    </r>
    <r>
      <rPr>
        <sz val="10"/>
        <rFont val="Arial"/>
        <family val="0"/>
        <charset val="1"/>
      </rPr>
      <t xml:space="preserve">10-17 </t>
    </r>
    <r>
      <rPr>
        <sz val="10"/>
        <rFont val="WenQuanYi Zen Hei"/>
        <family val="2"/>
      </rPr>
      <t xml:space="preserve">上海总部体验日、</t>
    </r>
    <r>
      <rPr>
        <sz val="10"/>
        <rFont val="Arial"/>
        <family val="0"/>
        <charset val="1"/>
      </rPr>
      <t xml:space="preserve">10-23 </t>
    </r>
    <r>
      <rPr>
        <sz val="10"/>
        <rFont val="WenQuanYi Zen Hei"/>
        <family val="2"/>
      </rPr>
      <t xml:space="preserve">天津、</t>
    </r>
    <r>
      <rPr>
        <sz val="10"/>
        <rFont val="Arial"/>
        <family val="0"/>
        <charset val="1"/>
      </rPr>
      <t xml:space="preserve">10-30 </t>
    </r>
    <r>
      <rPr>
        <sz val="10"/>
        <rFont val="WenQuanYi Zen Hei"/>
        <family val="2"/>
      </rPr>
      <t xml:space="preserve">东南大学、</t>
    </r>
    <r>
      <rPr>
        <sz val="10"/>
        <rFont val="Arial"/>
        <family val="0"/>
        <charset val="1"/>
      </rPr>
      <t xml:space="preserve">11-06 </t>
    </r>
    <r>
      <rPr>
        <sz val="10"/>
        <rFont val="WenQuanYi Zen Hei"/>
        <family val="2"/>
      </rPr>
      <t xml:space="preserve">武汉大学</t>
    </r>
  </si>
  <si>
    <r>
      <rPr>
        <sz val="10"/>
        <rFont val="WenQuanYi Zen Hei"/>
        <family val="2"/>
      </rPr>
      <t xml:space="preserve">检测鉴定岗与你的</t>
    </r>
    <r>
      <rPr>
        <sz val="10"/>
        <rFont val="Arial"/>
        <family val="0"/>
        <charset val="1"/>
      </rPr>
      <t xml:space="preserve">CT/</t>
    </r>
    <r>
      <rPr>
        <sz val="10"/>
        <rFont val="WenQuanYi Zen Hei"/>
        <family val="2"/>
      </rPr>
      <t xml:space="preserve">红外热成像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三维扫描</t>
    </r>
    <r>
      <rPr>
        <sz val="10"/>
        <rFont val="Arial"/>
        <family val="0"/>
        <charset val="1"/>
      </rPr>
      <t xml:space="preserve">/SEM</t>
    </r>
    <r>
      <rPr>
        <sz val="10"/>
        <rFont val="WenQuanYi Zen Hei"/>
        <family val="2"/>
      </rPr>
      <t xml:space="preserve">等检测经验高度匹配；强烈推荐</t>
    </r>
  </si>
  <si>
    <t xml:space="preserve">中交上海港湾工程设计研究院</t>
  </si>
  <si>
    <t xml:space="preserve">港工结构设计等（以公告为准）</t>
  </si>
  <si>
    <t xml:space="preserve">中国交建人才招聘平台</t>
  </si>
  <si>
    <r>
      <rPr>
        <sz val="10"/>
        <rFont val="WenQuanYi Zen Hei"/>
        <family val="2"/>
      </rPr>
      <t xml:space="preserve">港工结构设计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检测，海洋环境耐久性与你的腐蚀课题相关</t>
    </r>
  </si>
  <si>
    <r>
      <rPr>
        <sz val="10"/>
        <rFont val="WenQuanYi Zen Hei"/>
        <family val="2"/>
      </rPr>
      <t xml:space="preserve">江苏交通控股有限公司（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年人才招聘第一批次）</t>
    </r>
  </si>
  <si>
    <t xml:space="preserve">南京</t>
  </si>
  <si>
    <t xml:space="preserve">道路工程、桥梁工程、计算机软件、人工智能、电气工程等</t>
  </si>
  <si>
    <r>
      <rPr>
        <sz val="10"/>
        <rFont val="WenQuanYi Zen Hei"/>
        <family val="2"/>
      </rPr>
      <t xml:space="preserve">江苏交控官网 </t>
    </r>
    <r>
      <rPr>
        <sz val="10"/>
        <rFont val="Arial"/>
        <family val="0"/>
        <charset val="1"/>
      </rPr>
      <t xml:space="preserve">jchc.cn“</t>
    </r>
    <r>
      <rPr>
        <sz val="10"/>
        <rFont val="WenQuanYi Zen Hei"/>
        <family val="2"/>
      </rPr>
      <t xml:space="preserve">人才中心”；咨询 </t>
    </r>
    <r>
      <rPr>
        <sz val="10"/>
        <rFont val="Arial"/>
        <family val="0"/>
        <charset val="1"/>
      </rPr>
      <t xml:space="preserve">025-52863660</t>
    </r>
  </si>
  <si>
    <r>
      <rPr>
        <sz val="10"/>
        <rFont val="WenQuanYi Zen Hei"/>
        <family val="2"/>
      </rPr>
      <t xml:space="preserve">硕士专场、含桥梁工程岗，路桥管养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检测平台大；强烈推荐</t>
    </r>
  </si>
  <si>
    <t xml:space="preserve">中交三航（南通）海洋工程有限公司</t>
  </si>
  <si>
    <t xml:space="preserve">南通</t>
  </si>
  <si>
    <r>
      <rPr>
        <sz val="10"/>
        <rFont val="WenQuanYi Zen Hei"/>
        <family val="2"/>
      </rPr>
      <t xml:space="preserve">钢结构、预制构件制造及技术岗；本科前两年约</t>
    </r>
    <r>
      <rPr>
        <sz val="10"/>
        <rFont val="Arial"/>
        <family val="0"/>
        <charset val="1"/>
      </rPr>
      <t xml:space="preserve">10-18</t>
    </r>
    <r>
      <rPr>
        <sz val="10"/>
        <rFont val="WenQuanYi Zen Hei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年</t>
    </r>
  </si>
  <si>
    <t xml:space="preserve">钢结构制造企业，海洋环境钢结构防腐与你课题直接相关</t>
  </si>
  <si>
    <t xml:space="preserve">中铁宝桥集团（含中铁宝桥（扬州）有限公司、舟山公司）</t>
  </si>
  <si>
    <t xml:space="preserve">扬州（总部陕西宝鸡；另有浙江舟山）</t>
  </si>
  <si>
    <t xml:space="preserve">钢桥梁制造、焊接工艺、技术质量等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</si>
  <si>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www.crbbg.com</t>
    </r>
    <r>
      <rPr>
        <sz val="10"/>
        <rFont val="WenQuanYi Zen Hei"/>
        <family val="2"/>
      </rPr>
      <t xml:space="preserve">；公告附扬州、舟山公司联系人与邮箱</t>
    </r>
  </si>
  <si>
    <t xml:space="preserve">钢桥制造龙头，钢桥涂装防腐与课题直接相关</t>
  </si>
  <si>
    <t xml:space="preserve">中国铁建大桥工程局集团</t>
  </si>
  <si>
    <t xml:space="preserve">天津（全国）</t>
  </si>
  <si>
    <t xml:space="preserve">桥梁施工技术等</t>
  </si>
  <si>
    <r>
      <rPr>
        <sz val="10"/>
        <rFont val="WenQuanYi Zen Hei"/>
        <family val="2"/>
      </rPr>
      <t xml:space="preserve">扫码网申；公众号“人才招聘—校园招聘”；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</t>
    </r>
  </si>
  <si>
    <t xml:space="preserve">桥梁施工专业局，对口桥梁方向</t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</si>
  <si>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已截止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争取补录</t>
    </r>
  </si>
  <si>
    <t xml:space="preserve">中铁二院工程集团</t>
  </si>
  <si>
    <r>
      <rPr>
        <sz val="10"/>
        <rFont val="WenQuanYi Zen Hei"/>
        <family val="2"/>
      </rPr>
      <t xml:space="preserve">杭州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济南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南宁等</t>
    </r>
  </si>
  <si>
    <t xml:space="preserve">土建类（路基、桥梁、水文、港口航道与海岸工程）</t>
  </si>
  <si>
    <t xml:space="preserve">官方招聘渠道</t>
  </si>
  <si>
    <t xml:space="preserve">已截止</t>
  </si>
  <si>
    <t xml:space="preserve">中铁第四勘察设计院集团（铁四院）</t>
  </si>
  <si>
    <r>
      <rPr>
        <sz val="10"/>
        <rFont val="WenQuanYi Zen Hei"/>
        <family val="2"/>
      </rPr>
      <t xml:space="preserve">杭州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宁波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上海等</t>
    </r>
  </si>
  <si>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线路设计等</t>
    </r>
  </si>
  <si>
    <t xml:space="preserve">提前批已截止，关注补录</t>
  </si>
  <si>
    <t xml:space="preserve">中铁上海设计院集团</t>
  </si>
  <si>
    <r>
      <rPr>
        <sz val="10"/>
        <rFont val="WenQuanYi Zen Hei"/>
        <family val="2"/>
      </rPr>
      <t xml:space="preserve">铁路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桥梁设计</t>
    </r>
  </si>
  <si>
    <t xml:space="preserve">提前批已截止，关注春招补录</t>
  </si>
  <si>
    <t xml:space="preserve">中铁工程设计咨询集团（中铁设计）</t>
  </si>
  <si>
    <t xml:space="preserve">济南</t>
  </si>
  <si>
    <t xml:space="preserve">土木建筑类设计（含桥梁院）</t>
  </si>
  <si>
    <t xml:space="preserve">中铁大桥勘测设计院集团（中铁大桥院）</t>
  </si>
  <si>
    <r>
      <rPr>
        <sz val="10"/>
        <rFont val="WenQuanYi Zen Hei"/>
        <family val="2"/>
      </rPr>
      <t xml:space="preserve">武汉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芜湖</t>
    </r>
  </si>
  <si>
    <t xml:space="preserve">桥梁设计、桥梁智能设计研发、桥梁科研、试验检测、施工监控、桥梁监测、桥梁养护</t>
  </si>
  <si>
    <r>
      <rPr>
        <sz val="10"/>
        <rFont val="Arial"/>
        <family val="0"/>
        <charset val="1"/>
      </rPr>
      <t xml:space="preserve">brdi.zhiye.com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端选择职位投递）</t>
    </r>
  </si>
  <si>
    <r>
      <rPr>
        <sz val="10"/>
        <rFont val="WenQuanYi Zen Hei"/>
        <family val="2"/>
      </rPr>
      <t xml:space="preserve">桥梁设计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检测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养护岗与你方向最契合；已截止，务必关注补录与春招</t>
    </r>
  </si>
  <si>
    <r>
      <rPr>
        <sz val="10"/>
        <rFont val="WenQuanYi Zen Hei"/>
        <family val="2"/>
      </rPr>
      <t xml:space="preserve">同济设计集团（</t>
    </r>
    <r>
      <rPr>
        <sz val="10"/>
        <rFont val="Arial"/>
        <family val="0"/>
        <charset val="1"/>
      </rPr>
      <t xml:space="preserve">TJAD</t>
    </r>
    <r>
      <rPr>
        <sz val="10"/>
        <rFont val="WenQuanYi Zen Hei"/>
        <family val="2"/>
      </rPr>
      <t xml:space="preserve">）</t>
    </r>
  </si>
  <si>
    <t xml:space="preserve">结构设计等设计岗</t>
  </si>
  <si>
    <r>
      <rPr>
        <sz val="10"/>
        <rFont val="Arial"/>
        <family val="0"/>
        <charset val="1"/>
      </rPr>
      <t xml:space="preserve">TJAD</t>
    </r>
    <r>
      <rPr>
        <sz val="10"/>
        <rFont val="WenQuanYi Zen Hei"/>
        <family val="2"/>
      </rPr>
      <t xml:space="preserve">人才门户 </t>
    </r>
    <r>
      <rPr>
        <sz val="10"/>
        <rFont val="Arial"/>
        <family val="0"/>
        <charset val="1"/>
      </rPr>
      <t xml:space="preserve">careers.tjad.cn</t>
    </r>
    <r>
      <rPr>
        <sz val="10"/>
        <rFont val="WenQuanYi Zen Hei"/>
        <family val="2"/>
      </rPr>
      <t xml:space="preserve">；电话 </t>
    </r>
    <r>
      <rPr>
        <sz val="10"/>
        <rFont val="Arial"/>
        <family val="0"/>
        <charset val="1"/>
      </rPr>
      <t xml:space="preserve">021-35377318 / 021-35377680</t>
    </r>
  </si>
  <si>
    <r>
      <rPr>
        <sz val="10"/>
        <rFont val="WenQuanYi Zen Hei"/>
        <family val="2"/>
      </rPr>
      <t xml:space="preserve">顶级设计院结构岗；已截止，关注补录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春招</t>
    </r>
  </si>
  <si>
    <t xml:space="preserve">广东精工钢结构有限公司（精工钢构集团）</t>
  </si>
  <si>
    <t xml:space="preserve">广东及海外</t>
  </si>
  <si>
    <t xml:space="preserve">钢结构工程师、结构工程师、建筑工程师</t>
  </si>
  <si>
    <r>
      <rPr>
        <sz val="10"/>
        <rFont val="WenQuanYi Zen Hei"/>
        <family val="2"/>
      </rPr>
      <t xml:space="preserve">精工官方招聘渠道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</si>
  <si>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r>
      <rPr>
        <sz val="10"/>
        <rFont val="WenQuanYi Zen Hei"/>
        <family val="2"/>
      </rPr>
      <t xml:space="preserve">钢结构龙头民企，岗位与求职意向完全一致；已截止，建议直接联系</t>
    </r>
    <r>
      <rPr>
        <sz val="10"/>
        <rFont val="Arial"/>
        <family val="0"/>
        <charset val="1"/>
      </rPr>
      <t xml:space="preserve">HR</t>
    </r>
    <r>
      <rPr>
        <sz val="10"/>
        <rFont val="WenQuanYi Zen Hei"/>
        <family val="2"/>
      </rPr>
      <t xml:space="preserve">问补录</t>
    </r>
  </si>
  <si>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WenQuanYi Zen Hei"/>
        <family val="2"/>
      </rPr>
      <t xml:space="preserve">未发布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重点关注</t>
    </r>
  </si>
  <si>
    <t xml:space="preserve">厦门路桥建设集团</t>
  </si>
  <si>
    <t xml:space="preserve">厦门</t>
  </si>
  <si>
    <t xml:space="preserve">桥梁隧道建设、管养</t>
  </si>
  <si>
    <r>
      <rPr>
        <sz val="10"/>
        <rFont val="WenQuanYi Zen Hei"/>
        <family val="2"/>
      </rPr>
      <t xml:space="preserve">未发布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关注官方渠道</t>
    </r>
  </si>
  <si>
    <t xml:space="preserve">官网</t>
  </si>
  <si>
    <t xml:space="preserve">厦门桥梁建设管养主体，与桥梁钢结构检测高度相关，可主动投递</t>
  </si>
  <si>
    <t xml:space="preserve">建发合诚工程咨询股份有限公司</t>
  </si>
  <si>
    <t xml:space="preserve">交通设计、检测、监理</t>
  </si>
  <si>
    <r>
      <rPr>
        <sz val="10"/>
        <rFont val="WenQuanYi Zen Hei"/>
        <family val="2"/>
      </rPr>
      <t xml:space="preserve">厦门本地桥梁检测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设计上市公司，可主动投递</t>
    </r>
  </si>
  <si>
    <t xml:space="preserve">福建省建筑科学研究院</t>
  </si>
  <si>
    <t xml:space="preserve">福州</t>
  </si>
  <si>
    <t xml:space="preserve">建筑检测鉴定、科研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</si>
  <si>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www.fjjky.com</t>
    </r>
  </si>
  <si>
    <t xml:space="preserve">检测鉴定对口</t>
  </si>
  <si>
    <t xml:space="preserve">厦门市建筑科学研究院集团</t>
  </si>
  <si>
    <t xml:space="preserve">检测鉴定、科研</t>
  </si>
  <si>
    <t xml:space="preserve">检测鉴定对口，厦门本地</t>
  </si>
  <si>
    <t xml:space="preserve">福建省交通规划设计院</t>
  </si>
  <si>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道路设计</t>
    </r>
  </si>
  <si>
    <t xml:space="preserve">桥梁设计对口</t>
  </si>
  <si>
    <t xml:space="preserve">福建省建筑设计研究院</t>
  </si>
  <si>
    <t xml:space="preserve">结构设计</t>
  </si>
  <si>
    <t xml:space="preserve">结构设计对口</t>
  </si>
  <si>
    <r>
      <rPr>
        <sz val="10"/>
        <rFont val="WenQuanYi Zen Hei"/>
        <family val="2"/>
      </rPr>
      <t xml:space="preserve">厦门双瑞船舶涂料有限公司（中国船舶</t>
    </r>
    <r>
      <rPr>
        <sz val="10"/>
        <rFont val="Arial"/>
        <family val="0"/>
        <charset val="1"/>
      </rPr>
      <t xml:space="preserve">725</t>
    </r>
    <r>
      <rPr>
        <sz val="10"/>
        <rFont val="WenQuanYi Zen Hei"/>
        <family val="2"/>
      </rPr>
      <t xml:space="preserve">所）</t>
    </r>
  </si>
  <si>
    <r>
      <rPr>
        <sz val="10"/>
        <rFont val="WenQuanYi Zen Hei"/>
        <family val="2"/>
      </rPr>
      <t xml:space="preserve">船舶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重防腐涂料研发、技术服务</t>
    </r>
  </si>
  <si>
    <t xml:space="preserve">重防腐涂料，与涂层腐蚀课题直接相关</t>
  </si>
  <si>
    <t xml:space="preserve">厦门新长诚钢构工程有限公司</t>
  </si>
  <si>
    <t xml:space="preserve">钢结构设计、施工</t>
  </si>
  <si>
    <t xml:space="preserve">华侨大学土木学院招聘信息栏</t>
  </si>
  <si>
    <t xml:space="preserve">本地钢结构民企，可直接联系</t>
  </si>
  <si>
    <t xml:space="preserve">中交第四航务工程勘察设计院（四航院）</t>
  </si>
  <si>
    <t xml:space="preserve">港航水利、土木、市政、地质勘察、经管</t>
  </si>
  <si>
    <r>
      <rPr>
        <sz val="10"/>
        <rFont val="WenQuanYi Zen Hei"/>
        <family val="2"/>
      </rPr>
      <t xml:space="preserve">中国交建人才招聘平台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</si>
  <si>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t xml:space="preserve">港工结构设计，海洋环境耐久性相关</t>
  </si>
  <si>
    <t xml:space="preserve">中交四航工程研究院</t>
  </si>
  <si>
    <r>
      <rPr>
        <sz val="10"/>
        <rFont val="WenQuanYi Zen Hei"/>
        <family val="2"/>
      </rPr>
      <t xml:space="preserve">科研与技术服务岗（耐久性、腐蚀防护、结构检测、数值仿真）；硕士首年</t>
    </r>
    <r>
      <rPr>
        <sz val="10"/>
        <rFont val="Arial"/>
        <family val="0"/>
        <charset val="1"/>
      </rPr>
      <t xml:space="preserve">15-20</t>
    </r>
    <r>
      <rPr>
        <sz val="10"/>
        <rFont val="WenQuanYi Zen Hei"/>
        <family val="2"/>
      </rPr>
      <t xml:space="preserve">万</t>
    </r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</si>
  <si>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etr.cccc4.com</t>
    </r>
    <r>
      <rPr>
        <sz val="10"/>
        <rFont val="WenQuanYi Zen Hei"/>
        <family val="2"/>
      </rPr>
      <t xml:space="preserve">；中国交建人才招聘平台</t>
    </r>
  </si>
  <si>
    <t xml:space="preserve">设有港珠澳大桥材料腐蚀与工程安全国家野外观测站、水工构造物耐久性重点实验室，与你课题最契合；强烈建议主动邮件投递</t>
  </si>
  <si>
    <t xml:space="preserve">广东华路交通科技有限公司</t>
  </si>
  <si>
    <r>
      <rPr>
        <sz val="10"/>
        <rFont val="WenQuanYi Zen Hei"/>
        <family val="2"/>
      </rPr>
      <t xml:space="preserve">路桥、隧道、岩土检测；硕士年薪约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万起</t>
    </r>
  </si>
  <si>
    <t xml:space="preserve">桥梁检测对口</t>
  </si>
  <si>
    <t xml:space="preserve">广东省建筑科学研究院集团</t>
  </si>
  <si>
    <t xml:space="preserve">广东省交通规划设计研究院</t>
  </si>
  <si>
    <t xml:space="preserve">未检索到</t>
  </si>
  <si>
    <t xml:space="preserve">广州市市政工程设计研究总院</t>
  </si>
  <si>
    <r>
      <rPr>
        <sz val="10"/>
        <rFont val="WenQuanYi Zen Hei"/>
        <family val="2"/>
      </rPr>
      <t xml:space="preserve">市政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桥梁设计（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</t>
    </r>
    <r>
      <rPr>
        <sz val="10"/>
        <rFont val="Arial"/>
        <family val="0"/>
        <charset val="1"/>
      </rPr>
      <t xml:space="preserve">16</t>
    </r>
    <r>
      <rPr>
        <sz val="10"/>
        <rFont val="WenQuanYi Zen Hei"/>
        <family val="2"/>
      </rPr>
      <t xml:space="preserve">人，研究生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人）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</si>
  <si>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2025-12 </t>
    </r>
    <r>
      <rPr>
        <sz val="10"/>
        <rFont val="WenQuanYi Zen Hei"/>
        <family val="2"/>
      </rPr>
      <t xml:space="preserve">发布</t>
    </r>
  </si>
  <si>
    <t xml:space="preserve">深圳市市政设计研究院</t>
  </si>
  <si>
    <t xml:space="preserve">深圳</t>
  </si>
  <si>
    <r>
      <rPr>
        <sz val="10"/>
        <rFont val="WenQuanYi Zen Hei"/>
        <family val="2"/>
      </rPr>
      <t xml:space="preserve">市政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桥梁设计</t>
    </r>
  </si>
  <si>
    <t xml:space="preserve">华南理工大学建筑设计研究院</t>
  </si>
  <si>
    <t xml:space="preserve">往年曾参加华侨大学土建网络专场</t>
  </si>
  <si>
    <t xml:space="preserve">上海市政工程设计研究总院（上海市政总院）</t>
  </si>
  <si>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市政设计（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人，硕士）</t>
    </r>
  </si>
  <si>
    <t xml:space="preserve">上海市城市建设设计研究总院（上海城建设计总院）</t>
  </si>
  <si>
    <r>
      <rPr>
        <sz val="10"/>
        <rFont val="WenQuanYi Zen Hei"/>
        <family val="2"/>
      </rPr>
      <t xml:space="preserve">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轨交设计</t>
    </r>
  </si>
  <si>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年简章</t>
    </r>
  </si>
  <si>
    <t xml:space="preserve">华东建筑设计研究院（华建集团）</t>
  </si>
  <si>
    <r>
      <rPr>
        <sz val="10"/>
        <rFont val="WenQuanYi Zen Hei"/>
        <family val="2"/>
      </rPr>
      <t xml:space="preserve">结构、岩土、幕墙、</t>
    </r>
    <r>
      <rPr>
        <sz val="10"/>
        <rFont val="Arial"/>
        <family val="0"/>
        <charset val="1"/>
      </rPr>
      <t xml:space="preserve">BIM </t>
    </r>
    <r>
      <rPr>
        <sz val="10"/>
        <rFont val="WenQuanYi Zen Hei"/>
        <family val="2"/>
      </rPr>
      <t xml:space="preserve">等</t>
    </r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</si>
  <si>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</si>
  <si>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届暑期实习已招；秋招未检索到</t>
    </r>
  </si>
  <si>
    <t xml:space="preserve">上海宝冶集团</t>
  </si>
  <si>
    <t xml:space="preserve">工程技术、钢结构施工</t>
  </si>
  <si>
    <t xml:space="preserve">钢结构施工强企</t>
  </si>
  <si>
    <t xml:space="preserve">中冶（上海）钢结构科技有限公司</t>
  </si>
  <si>
    <t xml:space="preserve">钢结构设计、工程技术</t>
  </si>
  <si>
    <r>
      <rPr>
        <sz val="10"/>
        <rFont val="Arial"/>
        <family val="0"/>
        <charset val="1"/>
      </rPr>
      <t xml:space="preserve">2021</t>
    </r>
    <r>
      <rPr>
        <sz val="10"/>
        <rFont val="WenQuanYi Zen Hei"/>
        <family val="2"/>
      </rPr>
      <t xml:space="preserve">届简章（含结构设计岗）</t>
    </r>
  </si>
  <si>
    <r>
      <rPr>
        <sz val="10"/>
        <rFont val="WenQuanYi Zen Hei"/>
        <family val="2"/>
      </rPr>
      <t xml:space="preserve">上海振华重工（</t>
    </r>
    <r>
      <rPr>
        <sz val="10"/>
        <rFont val="Arial"/>
        <family val="0"/>
        <charset val="1"/>
      </rPr>
      <t xml:space="preserve">ZPMC</t>
    </r>
    <r>
      <rPr>
        <sz val="10"/>
        <rFont val="WenQuanYi Zen Hei"/>
        <family val="2"/>
      </rPr>
      <t xml:space="preserve">）</t>
    </r>
  </si>
  <si>
    <t xml:space="preserve">港机、海工、钢结构</t>
  </si>
  <si>
    <t xml:space="preserve">大型钢结构（含钢桥）制造，防腐涂装需求大</t>
  </si>
  <si>
    <t xml:space="preserve">宝武集团钢结构企业（宝钢钢构等）</t>
  </si>
  <si>
    <t xml:space="preserve">钢结构</t>
  </si>
  <si>
    <t xml:space="preserve">宝武招聘</t>
  </si>
  <si>
    <t xml:space="preserve">中交第三航务工程勘察设计院（三航院）</t>
  </si>
  <si>
    <t xml:space="preserve">港航、岩土、海洋工程设计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</si>
  <si>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届已招</t>
    </r>
  </si>
  <si>
    <t xml:space="preserve">浙江数智交院（原浙江省交通规划设计研究院）</t>
  </si>
  <si>
    <t xml:space="preserve">杭州</t>
  </si>
  <si>
    <t xml:space="preserve">中国电建华东勘测设计研究院（华东院）</t>
  </si>
  <si>
    <t xml:space="preserve">水工、结构、岩土、新能源</t>
  </si>
  <si>
    <r>
      <rPr>
        <sz val="10"/>
        <rFont val="WenQuanYi Zen Hei"/>
        <family val="2"/>
      </rPr>
      <t xml:space="preserve">公众号“中国电建华东院</t>
    </r>
    <r>
      <rPr>
        <sz val="10"/>
        <rFont val="Arial"/>
        <family val="0"/>
        <charset val="1"/>
      </rPr>
      <t xml:space="preserve">HDEC</t>
    </r>
    <r>
      <rPr>
        <sz val="10"/>
        <rFont val="WenQuanYi Zen Hei"/>
        <family val="2"/>
      </rPr>
      <t xml:space="preserve">招聘平台”</t>
    </r>
  </si>
  <si>
    <r>
      <rPr>
        <sz val="10"/>
        <rFont val="WenQuanYi Zen Hei"/>
        <family val="2"/>
      </rPr>
      <t xml:space="preserve">往年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月中下旬截止，大概率仍可投</t>
    </r>
  </si>
  <si>
    <r>
      <rPr>
        <sz val="10"/>
        <rFont val="WenQuanYi Zen Hei"/>
        <family val="2"/>
      </rPr>
      <t xml:space="preserve">浙江大学建筑设计研究院（</t>
    </r>
    <r>
      <rPr>
        <sz val="10"/>
        <rFont val="Arial"/>
        <family val="0"/>
        <charset val="1"/>
      </rPr>
      <t xml:space="preserve">UAD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</si>
  <si>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2025-09-10 ~ 10-25</t>
    </r>
  </si>
  <si>
    <t xml:space="preserve">浙江省建筑设计研究院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</si>
  <si>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年春招</t>
    </r>
  </si>
  <si>
    <t xml:space="preserve">精工钢构（长江精工钢结构集团）</t>
  </si>
  <si>
    <r>
      <rPr>
        <sz val="10"/>
        <rFont val="WenQuanYi Zen Hei"/>
        <family val="2"/>
      </rPr>
      <t xml:space="preserve">绍兴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杭州</t>
    </r>
  </si>
  <si>
    <t xml:space="preserve">钢结构设计、深化、制造、施工</t>
  </si>
  <si>
    <t xml:space="preserve">钢结构行业排名第一的上市公司</t>
  </si>
  <si>
    <t xml:space="preserve">杭萧钢构</t>
  </si>
  <si>
    <t xml:space="preserve">钢结构设计、深化、项目管理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</si>
  <si>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hxss.com.cn / </t>
    </r>
    <r>
      <rPr>
        <sz val="10"/>
        <rFont val="WenQuanYi Zen Hei"/>
        <family val="2"/>
      </rPr>
      <t xml:space="preserve">智联招聘</t>
    </r>
  </si>
  <si>
    <t xml:space="preserve">东南网架</t>
  </si>
  <si>
    <r>
      <rPr>
        <sz val="10"/>
        <rFont val="WenQuanYi Zen Hei"/>
        <family val="2"/>
      </rPr>
      <t xml:space="preserve">网架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钢结构设计施工</t>
    </r>
  </si>
  <si>
    <t xml:space="preserve">华设设计集团</t>
  </si>
  <si>
    <t xml:space="preserve">桥梁、道路、规划、智慧交通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</si>
  <si>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www.cdg.com.cn</t>
    </r>
  </si>
  <si>
    <r>
      <rPr>
        <sz val="10"/>
        <rFont val="WenQuanYi Zen Hei"/>
        <family val="2"/>
      </rPr>
      <t xml:space="preserve">往年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月中旬才开网申，时间上完全来得及</t>
    </r>
  </si>
  <si>
    <t xml:space="preserve">苏交科集团</t>
  </si>
  <si>
    <t xml:space="preserve">桥梁设计、检测监测</t>
  </si>
  <si>
    <r>
      <rPr>
        <sz val="10"/>
        <rFont val="WenQuanYi Zen Hei"/>
        <family val="2"/>
      </rPr>
      <t xml:space="preserve">往届 </t>
    </r>
    <r>
      <rPr>
        <sz val="10"/>
        <rFont val="Arial"/>
        <family val="0"/>
        <charset val="1"/>
      </rPr>
      <t xml:space="preserve">app.mokahr.com/campus-recruitment/jsti/144121</t>
    </r>
    <r>
      <rPr>
        <sz val="10"/>
        <rFont val="WenQuanYi Zen Hei"/>
        <family val="2"/>
      </rPr>
      <t xml:space="preserve">；官网 </t>
    </r>
    <r>
      <rPr>
        <sz val="10"/>
        <rFont val="Arial"/>
        <family val="0"/>
        <charset val="1"/>
      </rPr>
      <t xml:space="preserve">www.jsti.com</t>
    </r>
  </si>
  <si>
    <t xml:space="preserve">桥梁检测监测岗对口</t>
  </si>
  <si>
    <t xml:space="preserve">江苏省建筑设计研究院</t>
  </si>
  <si>
    <t xml:space="preserve">东南大学建筑设计研究院</t>
  </si>
  <si>
    <t xml:space="preserve">江苏沪宁钢机股份有限公司</t>
  </si>
  <si>
    <t xml:space="preserve">宜兴</t>
  </si>
  <si>
    <r>
      <rPr>
        <sz val="10"/>
        <rFont val="WenQuanYi Zen Hei"/>
        <family val="2"/>
      </rPr>
      <t xml:space="preserve">大型钢结构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钢桥制造</t>
    </r>
  </si>
  <si>
    <t xml:space="preserve">钢结构民企</t>
  </si>
  <si>
    <t xml:space="preserve">山东省交通规划设计院集团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</si>
  <si>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年校招截止 </t>
    </r>
    <r>
      <rPr>
        <sz val="10"/>
        <rFont val="Arial"/>
        <family val="0"/>
        <charset val="1"/>
      </rPr>
      <t xml:space="preserve">06-17</t>
    </r>
  </si>
  <si>
    <r>
      <rPr>
        <sz val="10"/>
        <rFont val="WenQuanYi Zen Hei"/>
        <family val="2"/>
      </rPr>
      <t xml:space="preserve">青岛双瑞海洋环境工程股份有限公司（</t>
    </r>
    <r>
      <rPr>
        <sz val="10"/>
        <rFont val="Arial"/>
        <family val="0"/>
        <charset val="1"/>
      </rPr>
      <t xml:space="preserve">725</t>
    </r>
    <r>
      <rPr>
        <sz val="10"/>
        <rFont val="WenQuanYi Zen Hei"/>
        <family val="2"/>
      </rPr>
      <t xml:space="preserve">所）</t>
    </r>
  </si>
  <si>
    <t xml:space="preserve">青岛</t>
  </si>
  <si>
    <t xml:space="preserve">腐蚀控制、阴极保护</t>
  </si>
  <si>
    <t xml:space="preserve">海洋腐蚀防护，对口课题</t>
  </si>
  <si>
    <t xml:space="preserve">中国船舶集团第七二五研究所（海洋腐蚀与防护全国重点实验室）</t>
  </si>
  <si>
    <r>
      <rPr>
        <sz val="10"/>
        <rFont val="WenQuanYi Zen Hei"/>
        <family val="2"/>
      </rPr>
      <t xml:space="preserve">青岛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洛阳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</t>
    </r>
  </si>
  <si>
    <t xml:space="preserve">腐蚀与防护研究</t>
  </si>
  <si>
    <r>
      <rPr>
        <sz val="10"/>
        <rFont val="WenQuanYi Zen Hei"/>
        <family val="2"/>
      </rPr>
      <t xml:space="preserve">学硕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论文有优势</t>
    </r>
  </si>
  <si>
    <r>
      <rPr>
        <sz val="10"/>
        <rFont val="WenQuanYi Zen Hei"/>
        <family val="2"/>
      </rPr>
      <t xml:space="preserve">钢铁研究总院青岛海洋腐蚀研究所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钢研纳克检测</t>
    </r>
  </si>
  <si>
    <t xml:space="preserve">海洋腐蚀试验与检测</t>
  </si>
  <si>
    <t xml:space="preserve">盐雾试验经验对口</t>
  </si>
  <si>
    <t xml:space="preserve">天津市政工程设计研究总院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</si>
  <si>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2025-10 </t>
    </r>
    <r>
      <rPr>
        <sz val="10"/>
        <rFont val="WenQuanYi Zen Hei"/>
        <family val="2"/>
      </rPr>
      <t xml:space="preserve">发布（硕士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）</t>
    </r>
  </si>
  <si>
    <t xml:space="preserve">中交第一航务工程勘察设计院（一航院）</t>
  </si>
  <si>
    <t xml:space="preserve">港工结构设计</t>
  </si>
  <si>
    <t xml:space="preserve">交通运输部天津水运工程科学研究院（天科院）</t>
  </si>
  <si>
    <t xml:space="preserve">港工结构耐久性、检测（硕博）</t>
  </si>
  <si>
    <r>
      <rPr>
        <sz val="10"/>
        <rFont val="WenQuanYi Zen Hei"/>
        <family val="2"/>
      </rPr>
      <t xml:space="preserve">交通运输部所属事业单位统一招聘 </t>
    </r>
    <r>
      <rPr>
        <sz val="10"/>
        <rFont val="Arial"/>
        <family val="0"/>
        <charset val="1"/>
      </rPr>
      <t xml:space="preserve">rccp.jtzyzg.org.cn</t>
    </r>
    <r>
      <rPr>
        <sz val="10"/>
        <rFont val="WenQuanYi Zen Hei"/>
        <family val="2"/>
      </rPr>
      <t xml:space="preserve">；电话 </t>
    </r>
    <r>
      <rPr>
        <sz val="10"/>
        <rFont val="Arial"/>
        <family val="0"/>
        <charset val="1"/>
      </rPr>
      <t xml:space="preserve">022-59812383</t>
    </r>
  </si>
  <si>
    <r>
      <rPr>
        <sz val="10"/>
        <rFont val="WenQuanYi Zen Hei"/>
        <family val="2"/>
      </rPr>
      <t xml:space="preserve">港工结构耐久性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腐蚀研究强，适合学硕</t>
    </r>
  </si>
  <si>
    <t xml:space="preserve">中国铁路设计集团</t>
  </si>
  <si>
    <t xml:space="preserve">铁路桥梁设计</t>
  </si>
  <si>
    <t xml:space="preserve">本次未检索，按往年惯例关注</t>
  </si>
  <si>
    <t xml:space="preserve">中铁山桥集团（中铁山海关桥梁集团）</t>
  </si>
  <si>
    <t xml:space="preserve">秦皇岛</t>
  </si>
  <si>
    <t xml:space="preserve">钢桥梁制造、钢结构</t>
  </si>
  <si>
    <t xml:space="preserve">国内钢桥制造龙头</t>
  </si>
  <si>
    <t xml:space="preserve">中建东北设计研究院</t>
  </si>
  <si>
    <t xml:space="preserve">沈阳</t>
  </si>
  <si>
    <t xml:space="preserve">广西交通设计集团</t>
  </si>
  <si>
    <t xml:space="preserve">南宁</t>
  </si>
  <si>
    <t xml:space="preserve">中国建筑科学研究院（含建研院检测中心）</t>
  </si>
  <si>
    <t xml:space="preserve">北京（上海等地有分支）</t>
  </si>
  <si>
    <t xml:space="preserve">检测工程师、结构、科研</t>
  </si>
  <si>
    <t xml:space="preserve">hr.cabr.com.cn</t>
  </si>
  <si>
    <r>
      <rPr>
        <sz val="10"/>
        <rFont val="WenQuanYi Zen Hei"/>
        <family val="2"/>
      </rPr>
      <t xml:space="preserve">检测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结构科研对口</t>
    </r>
  </si>
  <si>
    <r>
      <rPr>
        <b val="true"/>
        <sz val="14"/>
        <color rgb="FF1F4E78"/>
        <rFont val="WenQuanYi Zen Hei"/>
        <family val="2"/>
      </rPr>
      <t xml:space="preserve">沿海地区土木类 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届秋招岗位汇总（已发布公告）</t>
    </r>
  </si>
  <si>
    <r>
      <rPr>
        <i val="true"/>
        <sz val="9"/>
        <color rgb="FF595959"/>
        <rFont val="WenQuanYi Zen Hei"/>
        <family val="2"/>
      </rPr>
      <t xml:space="preserve">检索截至 </t>
    </r>
    <r>
      <rPr>
        <i val="true"/>
        <sz val="9"/>
        <color rgb="FF595959"/>
        <rFont val="Arial"/>
        <family val="0"/>
        <charset val="1"/>
      </rPr>
      <t xml:space="preserve">2026-10-20</t>
    </r>
    <r>
      <rPr>
        <i val="true"/>
        <sz val="9"/>
        <color rgb="FF595959"/>
        <rFont val="WenQuanYi Zen Hei"/>
        <family val="2"/>
      </rPr>
      <t xml:space="preserve">。状态与“距截止”列按打开当天日期自动计算；“已启动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截止待核”表示已见公告但未检索到截止日。信息多为第三方转载，投递前请到官网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公众号核对。匹配度依据：结构工程学硕、桥梁钢结构腐蚀与损伤检测、钢结构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结构设计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桥梁求职意向。</t>
    </r>
  </si>
  <si>
    <t xml:space="preserve">序号</t>
  </si>
  <si>
    <r>
      <rPr>
        <b val="true"/>
        <sz val="10"/>
        <color rgb="FFFFFFFF"/>
        <rFont val="WenQuanYi Zen Hei"/>
        <family val="2"/>
      </rPr>
      <t xml:space="preserve">城市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工作地</t>
    </r>
  </si>
  <si>
    <t xml:space="preserve">所属集团</t>
  </si>
  <si>
    <t xml:space="preserve">企业性质</t>
  </si>
  <si>
    <r>
      <rPr>
        <b val="true"/>
        <sz val="10"/>
        <color rgb="FFFFFFFF"/>
        <rFont val="WenQuanYi Zen Hei"/>
        <family val="2"/>
      </rPr>
      <t xml:space="preserve">招聘方向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岗位</t>
    </r>
  </si>
  <si>
    <r>
      <rPr>
        <b val="true"/>
        <sz val="10"/>
        <color rgb="FFFFFFFF"/>
        <rFont val="WenQuanYi Zen Hei"/>
        <family val="2"/>
      </rPr>
      <t xml:space="preserve">学历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专业要求</t>
    </r>
  </si>
  <si>
    <r>
      <rPr>
        <b val="true"/>
        <sz val="10"/>
        <color rgb="FFFFFFFF"/>
        <rFont val="WenQuanYi Zen Hei"/>
        <family val="2"/>
      </rPr>
      <t xml:space="preserve">网申入口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投递方式</t>
    </r>
  </si>
  <si>
    <t xml:space="preserve">网申时间（原文）</t>
  </si>
  <si>
    <t xml:space="preserve">状态（随当天日期自动更新）</t>
  </si>
  <si>
    <t xml:space="preserve">与简历匹配度</t>
  </si>
  <si>
    <r>
      <rPr>
        <b val="true"/>
        <sz val="10"/>
        <color rgb="FFFFFFFF"/>
        <rFont val="WenQuanYi Zen Hei"/>
        <family val="2"/>
      </rPr>
      <t xml:space="preserve">匹配理由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投递建议</t>
    </r>
  </si>
  <si>
    <t xml:space="preserve">中交三航局第六工程（厦门）有限公司</t>
  </si>
  <si>
    <r>
      <rPr>
        <sz val="10"/>
        <rFont val="WenQuanYi Zen Hei"/>
        <family val="2"/>
      </rPr>
      <t xml:space="preserve">中国交建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三航局</t>
    </r>
  </si>
  <si>
    <t xml:space="preserve">央企</t>
  </si>
  <si>
    <r>
      <rPr>
        <sz val="10"/>
        <rFont val="WenQuanYi Zen Hei"/>
        <family val="2"/>
      </rPr>
      <t xml:space="preserve">工程技术（港航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道桥）等</t>
    </r>
  </si>
  <si>
    <t xml:space="preserve">全日制本科及以上；党员、学生干部、双一流优先</t>
  </si>
  <si>
    <r>
      <rPr>
        <sz val="10"/>
        <rFont val="WenQuanYi Zen Hei"/>
        <family val="2"/>
      </rPr>
      <t xml:space="preserve">中国交建人才招聘平台网申；或简历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成绩单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证书扫描件发招聘邮箱（主题：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届应届生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学校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专业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姓名）</t>
    </r>
  </si>
  <si>
    <t xml:space="preserve">2026-09-06 ~ 2026-10-04</t>
  </si>
  <si>
    <t xml:space="preserve">★★</t>
  </si>
  <si>
    <t xml:space="preserve">厦门本地港航央企，离学校近；网申已截止，可按公告邮箱补投并关注补录</t>
  </si>
  <si>
    <r>
      <rPr>
        <sz val="10"/>
        <rFont val="WenQuanYi Zen Hei"/>
        <family val="2"/>
      </rPr>
      <t xml:space="preserve">牛企直聘校招 </t>
    </r>
    <r>
      <rPr>
        <sz val="10"/>
        <rFont val="Arial"/>
        <family val="0"/>
        <charset val="1"/>
      </rPr>
      <t xml:space="preserve">campus.niuqizp.com</t>
    </r>
    <r>
      <rPr>
        <sz val="10"/>
        <rFont val="WenQuanYi Zen Hei"/>
        <family val="2"/>
      </rPr>
      <t xml:space="preserve">（转载）</t>
    </r>
  </si>
  <si>
    <r>
      <rPr>
        <sz val="10"/>
        <rFont val="WenQuanYi Zen Hei"/>
        <family val="2"/>
      </rPr>
      <t xml:space="preserve">厦门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重庆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天津</t>
    </r>
  </si>
  <si>
    <r>
      <rPr>
        <sz val="10"/>
        <rFont val="WenQuanYi Zen Hei"/>
        <family val="2"/>
      </rPr>
      <t xml:space="preserve">中交三航局（厦门等地 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届秋招批次）</t>
    </r>
  </si>
  <si>
    <t xml:space="preserve">市政建设、设计装修等</t>
  </si>
  <si>
    <t xml:space="preserve">本科及以上</t>
  </si>
  <si>
    <t xml:space="preserve">2026-08-26 ~ 2026-10-26</t>
  </si>
  <si>
    <t xml:space="preserve">聚合站标题为“中交三航局厦门”，具体用人单位以公告为准；仍在网申期</t>
  </si>
  <si>
    <t xml:space="preserve">中交上航（福建）交通建设工程有限公司</t>
  </si>
  <si>
    <r>
      <rPr>
        <sz val="10"/>
        <rFont val="WenQuanYi Zen Hei"/>
        <family val="2"/>
      </rPr>
      <t xml:space="preserve">中国交建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上海航道局</t>
    </r>
  </si>
  <si>
    <t xml:space="preserve">围海造地、航道疏浚、水利、市政施工等</t>
  </si>
  <si>
    <t xml:space="preserve">本科及以上；党员优先</t>
  </si>
  <si>
    <t xml:space="preserve">扫描公告二维码网申</t>
  </si>
  <si>
    <r>
      <rPr>
        <sz val="10"/>
        <rFont val="Arial"/>
        <family val="0"/>
        <charset val="1"/>
      </rPr>
      <t xml:space="preserve">2026-09-16 </t>
    </r>
    <r>
      <rPr>
        <sz val="10"/>
        <rFont val="WenQuanYi Zen Hei"/>
        <family val="2"/>
      </rPr>
      <t xml:space="preserve">发布，截止待核</t>
    </r>
  </si>
  <si>
    <t xml:space="preserve">总部在厦门；市政一级、港航二级资质</t>
  </si>
  <si>
    <r>
      <rPr>
        <sz val="10"/>
        <rFont val="WenQuanYi Zen Hei"/>
        <family val="2"/>
      </rPr>
      <t xml:space="preserve">国企招聘网 </t>
    </r>
    <r>
      <rPr>
        <sz val="10"/>
        <rFont val="Arial"/>
        <family val="0"/>
        <charset val="1"/>
      </rPr>
      <t xml:space="preserve">m.gwy.com/gqzp/413156.html</t>
    </r>
  </si>
  <si>
    <t xml:space="preserve">厦门（全国）</t>
  </si>
  <si>
    <t xml:space="preserve">厦门建发集团（含建发房产、联发集团、建发股份等）</t>
  </si>
  <si>
    <t xml:space="preserve">厦门市国资委</t>
  </si>
  <si>
    <t xml:space="preserve">地方国企</t>
  </si>
  <si>
    <r>
      <rPr>
        <sz val="10"/>
        <rFont val="WenQuanYi Zen Hei"/>
        <family val="2"/>
      </rPr>
      <t xml:space="preserve">集团计划招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人；建发房产设土建工程、建筑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规划设计等岗</t>
    </r>
  </si>
  <si>
    <r>
      <rPr>
        <sz val="10"/>
        <rFont val="WenQuanYi Zen Hei"/>
        <family val="2"/>
      </rPr>
      <t xml:space="preserve">建发招聘官网（往届入口 </t>
    </r>
    <r>
      <rPr>
        <sz val="10"/>
        <rFont val="Arial"/>
        <family val="0"/>
        <charset val="1"/>
      </rPr>
      <t xml:space="preserve">chinacdc.zhiye.com/campus</t>
    </r>
    <r>
      <rPr>
        <sz val="10"/>
        <rFont val="WenQuanYi Zen Hei"/>
        <family val="2"/>
      </rPr>
      <t xml:space="preserve">）；公众号“建发房产招聘”</t>
    </r>
  </si>
  <si>
    <r>
      <rPr>
        <sz val="10"/>
        <rFont val="Arial"/>
        <family val="0"/>
        <charset val="1"/>
      </rPr>
      <t xml:space="preserve">2026-09-14 </t>
    </r>
    <r>
      <rPr>
        <sz val="10"/>
        <rFont val="WenQuanYi Zen Hei"/>
        <family val="2"/>
      </rPr>
      <t xml:space="preserve">发布，截止待核</t>
    </r>
  </si>
  <si>
    <t xml:space="preserve">厦门龙头国企，土建工程岗适合；广联达算量技能可加分</t>
  </si>
  <si>
    <r>
      <rPr>
        <sz val="10"/>
        <rFont val="WenQuanYi Zen Hei"/>
        <family val="2"/>
      </rPr>
      <t xml:space="preserve">福州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厦门等</t>
    </r>
  </si>
  <si>
    <t xml:space="preserve">福建省港口集团</t>
  </si>
  <si>
    <t xml:space="preserve">福建省国资委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</si>
  <si>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届秋季校招（岗位明细见公告）</t>
    </r>
  </si>
  <si>
    <t xml:space="preserve">官网公告；流程：投递简历→筛选→笔面试→签约</t>
  </si>
  <si>
    <r>
      <rPr>
        <sz val="10"/>
        <rFont val="Arial"/>
        <family val="0"/>
        <charset val="1"/>
      </rPr>
      <t xml:space="preserve">2026-10-14 </t>
    </r>
    <r>
      <rPr>
        <sz val="10"/>
        <rFont val="WenQuanYi Zen Hei"/>
        <family val="2"/>
      </rPr>
      <t xml:space="preserve">发布，截止待核</t>
    </r>
  </si>
  <si>
    <r>
      <rPr>
        <sz val="10"/>
        <rFont val="WenQuanYi Zen Hei"/>
        <family val="2"/>
      </rPr>
      <t xml:space="preserve">省属港口集团，可能有港口工程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基建岗</t>
    </r>
  </si>
  <si>
    <r>
      <rPr>
        <sz val="10"/>
        <rFont val="WenQuanYi Zen Hei"/>
        <family val="2"/>
      </rPr>
      <t xml:space="preserve">国企招聘网 </t>
    </r>
    <r>
      <rPr>
        <sz val="10"/>
        <rFont val="Arial"/>
        <family val="0"/>
        <charset val="1"/>
      </rPr>
      <t xml:space="preserve">m.gwy.com</t>
    </r>
    <r>
      <rPr>
        <sz val="10"/>
        <rFont val="WenQuanYi Zen Hei"/>
        <family val="2"/>
      </rPr>
      <t xml:space="preserve">（转载）</t>
    </r>
  </si>
  <si>
    <t xml:space="preserve">莆田（全国）</t>
  </si>
  <si>
    <t xml:space="preserve">三棵树涂料股份有限公司（“森计划”）</t>
  </si>
  <si>
    <t xml:space="preserve">民营上市</t>
  </si>
  <si>
    <t xml:space="preserve">民企</t>
  </si>
  <si>
    <t xml:space="preserve">研发、工程技术服务、销售等</t>
  </si>
  <si>
    <r>
      <rPr>
        <sz val="10"/>
        <rFont val="WenQuanYi Zen Hei"/>
        <family val="2"/>
      </rPr>
      <t xml:space="preserve">本科及以上（国内毕业 </t>
    </r>
    <r>
      <rPr>
        <sz val="10"/>
        <rFont val="Arial"/>
        <family val="0"/>
        <charset val="1"/>
      </rPr>
      <t xml:space="preserve">2027.01-07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</si>
  <si>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3treesgroup.zhaopin.com →“</t>
    </r>
    <r>
      <rPr>
        <sz val="10"/>
        <rFont val="WenQuanYi Zen Hei"/>
        <family val="2"/>
      </rPr>
      <t xml:space="preserve">应届生招聘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森计划”；公众号“三棵树招聘”</t>
    </r>
  </si>
  <si>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起宣讲中，截止待核</t>
    </r>
  </si>
  <si>
    <t xml:space="preserve">涂料企业，与你的涂层腐蚀课题相关（涂层性能评价、防腐工程技术服务）</t>
  </si>
  <si>
    <t xml:space="preserve">厦门等</t>
  </si>
  <si>
    <t xml:space="preserve">厦门象屿集团</t>
  </si>
  <si>
    <t xml:space="preserve">文理工科均可；含矿山评估工程师等工程类岗</t>
  </si>
  <si>
    <r>
      <rPr>
        <sz val="10"/>
        <rFont val="WenQuanYi Zen Hei"/>
        <family val="2"/>
      </rPr>
      <t xml:space="preserve">本科及以上（毕业 </t>
    </r>
    <r>
      <rPr>
        <sz val="10"/>
        <rFont val="Arial"/>
        <family val="0"/>
        <charset val="1"/>
      </rPr>
      <t xml:space="preserve">2026.09-2027.08</t>
    </r>
    <r>
      <rPr>
        <sz val="10"/>
        <rFont val="WenQuanYi Zen Hei"/>
        <family val="2"/>
      </rPr>
      <t xml:space="preserve">）</t>
    </r>
  </si>
  <si>
    <t xml:space="preserve">象屿官方招聘渠道</t>
  </si>
  <si>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宣讲中，截止待核</t>
    </r>
  </si>
  <si>
    <t xml:space="preserve">★</t>
  </si>
  <si>
    <t xml:space="preserve">以供应链为主，土木对口岗位少，可作保底</t>
  </si>
  <si>
    <t xml:space="preserve">厦门国贸集团股份有限公司</t>
  </si>
  <si>
    <t xml:space="preserve">厦门国贸控股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</si>
  <si>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届秋季全球校招</t>
    </r>
  </si>
  <si>
    <t xml:space="preserve">国贸官方招聘渠道</t>
  </si>
  <si>
    <t xml:space="preserve">2026-09-07 ~ 2026-10-05</t>
  </si>
  <si>
    <t xml:space="preserve">以贸易为主，土木对口岗位少</t>
  </si>
  <si>
    <t xml:space="preserve">泉州</t>
  </si>
  <si>
    <t xml:space="preserve">中化泉州石化有限公司</t>
  </si>
  <si>
    <t xml:space="preserve">中国中化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</si>
  <si>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年校园招聘（土建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设备岗以公告为准）</t>
    </r>
  </si>
  <si>
    <t xml:space="preserve">2026-09-17 ~ 2026-11-15</t>
  </si>
  <si>
    <t xml:space="preserve">石化企业，土建维护类岗位较少，备选</t>
  </si>
  <si>
    <t xml:space="preserve">福建省华荣建设集团有限公司</t>
  </si>
  <si>
    <t xml:space="preserve">民营</t>
  </si>
  <si>
    <r>
      <rPr>
        <sz val="10"/>
        <rFont val="WenQuanYi Zen Hei"/>
        <family val="2"/>
      </rPr>
      <t xml:space="preserve">安全员（建筑类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土木类专业）</t>
    </r>
  </si>
  <si>
    <r>
      <rPr>
        <sz val="10"/>
        <rFont val="WenQuanYi Zen Hei"/>
        <family val="2"/>
      </rPr>
      <t xml:space="preserve">大专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本科</t>
    </r>
  </si>
  <si>
    <t xml:space="preserve">福建人才联合网（福州大学）在线投递</t>
  </si>
  <si>
    <r>
      <rPr>
        <sz val="10"/>
        <rFont val="WenQuanYi Zen Hei"/>
        <family val="2"/>
      </rPr>
      <t xml:space="preserve">岗位截止 </t>
    </r>
    <r>
      <rPr>
        <sz val="10"/>
        <rFont val="Arial"/>
        <family val="0"/>
        <charset val="1"/>
      </rPr>
      <t xml:space="preserve">2027-04-30</t>
    </r>
  </si>
  <si>
    <t xml:space="preserve">福建本地施工企业，有钢结构等专业资质；岗位层级较基础，作保底</t>
  </si>
  <si>
    <r>
      <rPr>
        <sz val="10"/>
        <rFont val="WenQuanYi Zen Hei"/>
        <family val="2"/>
      </rPr>
      <t xml:space="preserve">福建人才联合网 </t>
    </r>
    <r>
      <rPr>
        <sz val="10"/>
        <rFont val="Arial"/>
        <family val="0"/>
        <charset val="1"/>
      </rPr>
      <t xml:space="preserve">fjrclh.fzu.edu.cn/cms/jobDetails.html?jobId=54705</t>
    </r>
  </si>
  <si>
    <t xml:space="preserve">中国建筑</t>
  </si>
  <si>
    <r>
      <rPr>
        <sz val="10"/>
        <rFont val="WenQuanYi Zen Hei"/>
        <family val="2"/>
      </rPr>
      <t xml:space="preserve">本科及以上；内地 </t>
    </r>
    <r>
      <rPr>
        <sz val="10"/>
        <rFont val="Arial"/>
        <family val="0"/>
        <charset val="1"/>
      </rPr>
      <t xml:space="preserve">2027.01-07 </t>
    </r>
    <r>
      <rPr>
        <sz val="10"/>
        <rFont val="WenQuanYi Zen Hei"/>
        <family val="2"/>
      </rPr>
      <t xml:space="preserve">毕业；需参加中国建筑校园招聘统一考试</t>
    </r>
  </si>
  <si>
    <r>
      <rPr>
        <sz val="10"/>
        <rFont val="Arial"/>
        <family val="0"/>
        <charset val="1"/>
      </rPr>
      <t xml:space="preserve">2026-08-28 </t>
    </r>
    <r>
      <rPr>
        <sz val="10"/>
        <rFont val="WenQuanYi Zen Hei"/>
        <family val="2"/>
      </rPr>
      <t xml:space="preserve">启动；往届为 </t>
    </r>
    <r>
      <rPr>
        <sz val="10"/>
        <rFont val="Arial"/>
        <family val="0"/>
        <charset val="1"/>
      </rPr>
      <t xml:space="preserve">09-04 ~ 11-03</t>
    </r>
  </si>
  <si>
    <t xml:space="preserve">★★★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</si>
  <si>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campus.niuqizp.com/job-vUm5aNZtZ.html</t>
    </r>
  </si>
  <si>
    <t xml:space="preserve">北京市国资委</t>
  </si>
  <si>
    <t xml:space="preserve">北京总部：硕博；区域分支：本硕</t>
  </si>
  <si>
    <t xml:space="preserve">2026-09-25 ~ 2026-10-23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</si>
  <si>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campus.niuqizp.com/job-vsY5MaC5Z.html</t>
    </r>
  </si>
  <si>
    <t xml:space="preserve">广东省国资委</t>
  </si>
  <si>
    <t xml:space="preserve">地方国企（上市）</t>
  </si>
  <si>
    <r>
      <rPr>
        <sz val="10"/>
        <rFont val="WenQuanYi Zen Hei"/>
        <family val="2"/>
      </rPr>
      <t xml:space="preserve">本科及以上；国内毕业 </t>
    </r>
    <r>
      <rPr>
        <sz val="10"/>
        <rFont val="Arial"/>
        <family val="0"/>
        <charset val="1"/>
      </rPr>
      <t xml:space="preserve">2027.01.01-2027.08.31</t>
    </r>
  </si>
  <si>
    <r>
      <rPr>
        <sz val="10"/>
        <rFont val="Arial"/>
        <family val="0"/>
        <charset val="1"/>
      </rPr>
      <t xml:space="preserve">2026-09-02 </t>
    </r>
    <r>
      <rPr>
        <sz val="10"/>
        <rFont val="WenQuanYi Zen Hei"/>
        <family val="2"/>
      </rPr>
      <t xml:space="preserve">启动，截止待核</t>
    </r>
  </si>
  <si>
    <t xml:space="preserve">精工控股（民营上市）</t>
  </si>
  <si>
    <t xml:space="preserve">2026-09-09 ~ 2026-10-07</t>
  </si>
  <si>
    <t xml:space="preserve">深圳（华南公司，辖广东、海南）</t>
  </si>
  <si>
    <t xml:space="preserve">中建交通建设集团有限公司</t>
  </si>
  <si>
    <r>
      <rPr>
        <sz val="10"/>
        <rFont val="WenQuanYi Zen Hei"/>
        <family val="2"/>
      </rPr>
      <t xml:space="preserve">基础设施（路桥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轨交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市政）工程技术等</t>
    </r>
  </si>
  <si>
    <t xml:space="preserve">本科及以上；需中建统一考试</t>
  </si>
  <si>
    <r>
      <rPr>
        <sz val="10"/>
        <rFont val="WenQuanYi Zen Hei"/>
        <family val="2"/>
      </rPr>
      <t xml:space="preserve">中建交通招聘平台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中国建筑网申门户</t>
    </r>
  </si>
  <si>
    <t xml:space="preserve">2026-09-10 ~ 2026-11-10</t>
  </si>
  <si>
    <t xml:space="preserve">路桥施工技术岗，对口桥梁方向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</si>
  <si>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campus.niuqizp.com/job-v8l5CMM5N.html</t>
    </r>
  </si>
  <si>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</t>
    </r>
  </si>
  <si>
    <t xml:space="preserve">中建三局华南公司</t>
  </si>
  <si>
    <r>
      <rPr>
        <sz val="10"/>
        <rFont val="WenQuanYi Zen Hei"/>
        <family val="2"/>
      </rPr>
      <t xml:space="preserve">中国建筑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中建三局</t>
    </r>
  </si>
  <si>
    <r>
      <rPr>
        <sz val="10"/>
        <rFont val="WenQuanYi Zen Hei"/>
        <family val="2"/>
      </rPr>
      <t xml:space="preserve">房屋建筑、基础设施、勘察设计、金融财务、职能管理（约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人）</t>
    </r>
  </si>
  <si>
    <r>
      <rPr>
        <sz val="10"/>
        <rFont val="WenQuanYi Zen Hei"/>
        <family val="2"/>
      </rPr>
      <t xml:space="preserve">中建三局招聘网（第三方称 </t>
    </r>
    <r>
      <rPr>
        <sz val="10"/>
        <rFont val="Arial"/>
        <family val="0"/>
        <charset val="1"/>
      </rPr>
      <t xml:space="preserve">cscec3b.zhiye.com</t>
    </r>
    <r>
      <rPr>
        <sz val="10"/>
        <rFont val="WenQuanYi Zen Hei"/>
        <family val="2"/>
      </rPr>
      <t xml:space="preserve">，请核实）</t>
    </r>
  </si>
  <si>
    <r>
      <rPr>
        <sz val="10"/>
        <rFont val="Arial"/>
        <family val="0"/>
        <charset val="1"/>
      </rPr>
      <t xml:space="preserve">2026-09-04 </t>
    </r>
    <r>
      <rPr>
        <sz val="10"/>
        <rFont val="WenQuanYi Zen Hei"/>
        <family val="2"/>
      </rPr>
      <t xml:space="preserve">发布，截止待核</t>
    </r>
  </si>
  <si>
    <t xml:space="preserve">超高层、钢结构施工项目多，技术岗可选</t>
  </si>
  <si>
    <t xml:space="preserve">广州等</t>
  </si>
  <si>
    <t xml:space="preserve">中建四局交通投资建设有限公司</t>
  </si>
  <si>
    <r>
      <rPr>
        <sz val="10"/>
        <rFont val="WenQuanYi Zen Hei"/>
        <family val="2"/>
      </rPr>
      <t xml:space="preserve">中国建筑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中建四局</t>
    </r>
  </si>
  <si>
    <r>
      <rPr>
        <sz val="10"/>
        <rFont val="WenQuanYi Zen Hei"/>
        <family val="2"/>
      </rPr>
      <t xml:space="preserve">全序列岗位（约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人）；薪资 </t>
    </r>
    <r>
      <rPr>
        <sz val="10"/>
        <rFont val="Arial"/>
        <family val="0"/>
        <charset val="1"/>
      </rPr>
      <t xml:space="preserve">8.5-9.5k</t>
    </r>
  </si>
  <si>
    <t xml:space="preserve">以公告为准</t>
  </si>
  <si>
    <t xml:space="preserve">中国建筑网申门户</t>
  </si>
  <si>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启动，截止待核</t>
    </r>
  </si>
  <si>
    <t xml:space="preserve">交通基础设施方向</t>
  </si>
  <si>
    <t xml:space="preserve">中交第四航务工程局第二工程有限公司</t>
  </si>
  <si>
    <r>
      <rPr>
        <sz val="10"/>
        <rFont val="WenQuanYi Zen Hei"/>
        <family val="2"/>
      </rPr>
      <t xml:space="preserve">中国交建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四航局</t>
    </r>
  </si>
  <si>
    <r>
      <rPr>
        <sz val="10"/>
        <rFont val="WenQuanYi Zen Hei"/>
        <family val="2"/>
      </rPr>
      <t xml:space="preserve">工程技术、船机管理、财务、综合管理等；本科年薪</t>
    </r>
    <r>
      <rPr>
        <sz val="10"/>
        <rFont val="Arial"/>
        <family val="0"/>
        <charset val="1"/>
      </rPr>
      <t xml:space="preserve">10-13</t>
    </r>
    <r>
      <rPr>
        <sz val="10"/>
        <rFont val="WenQuanYi Zen Hei"/>
        <family val="2"/>
      </rPr>
      <t xml:space="preserve">万，研究生</t>
    </r>
    <r>
      <rPr>
        <sz val="10"/>
        <rFont val="Arial"/>
        <family val="0"/>
        <charset val="1"/>
      </rPr>
      <t xml:space="preserve">12-16</t>
    </r>
    <r>
      <rPr>
        <sz val="10"/>
        <rFont val="WenQuanYi Zen Hei"/>
        <family val="2"/>
      </rPr>
      <t xml:space="preserve">万</t>
    </r>
  </si>
  <si>
    <r>
      <rPr>
        <sz val="10"/>
        <rFont val="WenQuanYi Zen Hei"/>
        <family val="2"/>
      </rPr>
      <t xml:space="preserve">邮箱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官网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二维码网申；流程：网申→测评→筛选→笔面→</t>
    </r>
    <r>
      <rPr>
        <sz val="10"/>
        <rFont val="Arial"/>
        <family val="0"/>
        <charset val="1"/>
      </rPr>
      <t xml:space="preserve">offer→</t>
    </r>
    <r>
      <rPr>
        <sz val="10"/>
        <rFont val="WenQuanYi Zen Hei"/>
        <family val="2"/>
      </rPr>
      <t xml:space="preserve">三方</t>
    </r>
  </si>
  <si>
    <r>
      <rPr>
        <sz val="10"/>
        <rFont val="Arial"/>
        <family val="0"/>
        <charset val="1"/>
      </rPr>
      <t xml:space="preserve">2026-09-03 </t>
    </r>
    <r>
      <rPr>
        <sz val="10"/>
        <rFont val="WenQuanYi Zen Hei"/>
        <family val="2"/>
      </rPr>
      <t xml:space="preserve">启动，截止待核</t>
    </r>
  </si>
  <si>
    <t xml:space="preserve">华南港航施工主力</t>
  </si>
  <si>
    <t xml:space="preserve">惠州</t>
  </si>
  <si>
    <t xml:space="preserve">中交第四航务工程局第八工程有限公司</t>
  </si>
  <si>
    <t xml:space="preserve">工程技术、质量管理、机械设备、工程造价、安全管理、财务、党建综合</t>
  </si>
  <si>
    <r>
      <rPr>
        <sz val="10"/>
        <rFont val="Arial"/>
        <family val="0"/>
        <charset val="1"/>
      </rPr>
      <t xml:space="preserve">2026-08-28 </t>
    </r>
    <r>
      <rPr>
        <sz val="10"/>
        <rFont val="WenQuanYi Zen Hei"/>
        <family val="2"/>
      </rPr>
      <t xml:space="preserve">发布，截止待核</t>
    </r>
  </si>
  <si>
    <r>
      <rPr>
        <sz val="10"/>
        <rFont val="WenQuanYi Zen Hei"/>
        <family val="2"/>
      </rPr>
      <t xml:space="preserve">港航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市政施工；造价岗可用广联达技能</t>
    </r>
  </si>
  <si>
    <t xml:space="preserve">中铁广州工程局集团（集团校招）</t>
  </si>
  <si>
    <t xml:space="preserve">中国中铁</t>
  </si>
  <si>
    <t xml:space="preserve">工程技术等</t>
  </si>
  <si>
    <t xml:space="preserve">全日制公办本科及以上；专业排名靠前、党员、学生干部优先</t>
  </si>
  <si>
    <r>
      <rPr>
        <sz val="10"/>
        <rFont val="WenQuanYi Zen Hei"/>
        <family val="2"/>
      </rPr>
      <t xml:space="preserve">中国中铁官网 </t>
    </r>
    <r>
      <rPr>
        <sz val="10"/>
        <rFont val="Arial"/>
        <family val="0"/>
        <charset val="1"/>
      </rPr>
      <t xml:space="preserve">www.crec.cn“</t>
    </r>
    <r>
      <rPr>
        <sz val="10"/>
        <rFont val="WenQuanYi Zen Hei"/>
        <family val="2"/>
      </rPr>
      <t xml:space="preserve">人才招聘”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官方公众号</t>
    </r>
  </si>
  <si>
    <r>
      <rPr>
        <sz val="10"/>
        <rFont val="Arial"/>
        <family val="0"/>
        <charset val="1"/>
      </rPr>
      <t xml:space="preserve">2026-08 </t>
    </r>
    <r>
      <rPr>
        <sz val="10"/>
        <rFont val="WenQuanYi Zen Hei"/>
        <family val="2"/>
      </rPr>
      <t xml:space="preserve">底启动，截止待核</t>
    </r>
  </si>
  <si>
    <t xml:space="preserve">桥隧施工较多；你本科专业排名第一是加分项</t>
  </si>
  <si>
    <r>
      <rPr>
        <sz val="10"/>
        <rFont val="WenQuanYi Zen Hei"/>
        <family val="2"/>
      </rPr>
      <t xml:space="preserve">牛企直聘校招 </t>
    </r>
    <r>
      <rPr>
        <sz val="10"/>
        <rFont val="Arial"/>
        <family val="0"/>
        <charset val="1"/>
      </rPr>
      <t xml:space="preserve">campus.niuqizp.com</t>
    </r>
    <r>
      <rPr>
        <sz val="10"/>
        <rFont val="WenQuanYi Zen Hei"/>
        <family val="2"/>
      </rPr>
      <t xml:space="preserve">（转载）；国企招聘网 </t>
    </r>
    <r>
      <rPr>
        <sz val="10"/>
        <rFont val="Arial"/>
        <family val="0"/>
        <charset val="1"/>
      </rPr>
      <t xml:space="preserve">m.gwy.com</t>
    </r>
    <r>
      <rPr>
        <sz val="10"/>
        <rFont val="WenQuanYi Zen Hei"/>
        <family val="2"/>
      </rPr>
      <t xml:space="preserve">（转载）</t>
    </r>
  </si>
  <si>
    <t xml:space="preserve">中铁广州工程局市政环保公司</t>
  </si>
  <si>
    <r>
      <rPr>
        <sz val="10"/>
        <rFont val="WenQuanYi Zen Hei"/>
        <family val="2"/>
      </rPr>
      <t xml:space="preserve">中国中铁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中铁广州局</t>
    </r>
  </si>
  <si>
    <r>
      <rPr>
        <sz val="10"/>
        <rFont val="WenQuanYi Zen Hei"/>
        <family val="2"/>
      </rPr>
      <t xml:space="preserve">市政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环保工程技术</t>
    </r>
  </si>
  <si>
    <t xml:space="preserve">同中铁广州局</t>
  </si>
  <si>
    <t xml:space="preserve">2026-08-24 ~ 2026-10-24</t>
  </si>
  <si>
    <t xml:space="preserve">即将截止</t>
  </si>
  <si>
    <t xml:space="preserve">广州地铁集团有限公司</t>
  </si>
  <si>
    <t xml:space="preserve">广州市国资委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</si>
  <si>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届全球校招（约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人；土建类岗位以岗位表为准）</t>
    </r>
  </si>
  <si>
    <t xml:space="preserve">广州地铁官网“人才招聘”；公众号“下一站广州地铁”；需完成在线测评</t>
  </si>
  <si>
    <r>
      <rPr>
        <sz val="10"/>
        <rFont val="Arial"/>
        <family val="0"/>
        <charset val="1"/>
      </rPr>
      <t xml:space="preserve">2026-09-10 ~ 2026-11-10</t>
    </r>
    <r>
      <rPr>
        <sz val="10"/>
        <rFont val="WenQuanYi Zen Hei"/>
        <family val="2"/>
      </rPr>
      <t xml:space="preserve">（转载称测评截止 </t>
    </r>
    <r>
      <rPr>
        <sz val="10"/>
        <rFont val="Arial"/>
        <family val="0"/>
        <charset val="1"/>
      </rPr>
      <t xml:space="preserve">10-05</t>
    </r>
    <r>
      <rPr>
        <sz val="10"/>
        <rFont val="WenQuanYi Zen Hei"/>
        <family val="2"/>
      </rPr>
      <t xml:space="preserve">，需核实）</t>
    </r>
  </si>
  <si>
    <r>
      <rPr>
        <sz val="10"/>
        <rFont val="WenQuanYi Zen Hei"/>
        <family val="2"/>
      </rPr>
      <t xml:space="preserve">地铁土建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结构维护岗可关注；先确认测评是否仍开放</t>
    </r>
  </si>
  <si>
    <t xml:space="preserve">中国能建广东火电工程有限公司</t>
  </si>
  <si>
    <t xml:space="preserve">中国能建</t>
  </si>
  <si>
    <t xml:space="preserve">工程技术管理、项目管理、职能管理</t>
  </si>
  <si>
    <r>
      <rPr>
        <sz val="10"/>
        <rFont val="WenQuanYi Zen Hei"/>
        <family val="2"/>
      </rPr>
      <t xml:space="preserve">中国能建招聘平台 </t>
    </r>
    <r>
      <rPr>
        <sz val="10"/>
        <rFont val="Arial"/>
        <family val="0"/>
        <charset val="1"/>
      </rPr>
      <t xml:space="preserve">ceec.iguopin.com</t>
    </r>
  </si>
  <si>
    <r>
      <rPr>
        <sz val="10"/>
        <rFont val="WenQuanYi Zen Hei"/>
        <family val="2"/>
      </rPr>
      <t xml:space="preserve">聚合站显示截止 </t>
    </r>
    <r>
      <rPr>
        <sz val="10"/>
        <rFont val="Arial"/>
        <family val="0"/>
        <charset val="1"/>
      </rPr>
      <t xml:space="preserve">2026-12-16</t>
    </r>
    <r>
      <rPr>
        <sz val="10"/>
        <rFont val="WenQuanYi Zen Hei"/>
        <family val="2"/>
      </rPr>
      <t xml:space="preserve">（二次检索未能确认）</t>
    </r>
  </si>
  <si>
    <t xml:space="preserve">电力工程施工，土建技术岗可投；截止日期务必核实</t>
  </si>
  <si>
    <t xml:space="preserve">中海地产（中国海外发展）</t>
  </si>
  <si>
    <t xml:space="preserve">“海之子”：土建工程岗、机电工程岗等</t>
  </si>
  <si>
    <r>
      <rPr>
        <sz val="10"/>
        <rFont val="WenQuanYi Zen Hei"/>
        <family val="2"/>
      </rPr>
      <t xml:space="preserve">本科及以上；毕业 </t>
    </r>
    <r>
      <rPr>
        <sz val="10"/>
        <rFont val="Arial"/>
        <family val="0"/>
        <charset val="1"/>
      </rPr>
      <t xml:space="preserve">2026.09-2027.12</t>
    </r>
  </si>
  <si>
    <r>
      <rPr>
        <sz val="10"/>
        <rFont val="WenQuanYi Zen Hei"/>
        <family val="2"/>
      </rPr>
      <t xml:space="preserve">中海招聘官网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</si>
  <si>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r>
      <rPr>
        <sz val="10"/>
        <rFont val="Arial"/>
        <family val="0"/>
        <charset val="1"/>
      </rPr>
      <t xml:space="preserve">2026-10 </t>
    </r>
    <r>
      <rPr>
        <sz val="10"/>
        <rFont val="WenQuanYi Zen Hei"/>
        <family val="2"/>
      </rPr>
      <t xml:space="preserve">已启动，截止待核</t>
    </r>
  </si>
  <si>
    <t xml:space="preserve">地产甲方土建工程岗，平台好、竞争激烈</t>
  </si>
  <si>
    <r>
      <rPr>
        <sz val="10"/>
        <rFont val="WenQuanYi Zen Hei"/>
        <family val="2"/>
      </rPr>
      <t xml:space="preserve">国企招聘网 </t>
    </r>
    <r>
      <rPr>
        <sz val="10"/>
        <rFont val="Arial"/>
        <family val="0"/>
        <charset val="1"/>
      </rPr>
      <t xml:space="preserve">m.gwy.com/gqzp/414596.html</t>
    </r>
  </si>
  <si>
    <t xml:space="preserve">深圳（全国）</t>
  </si>
  <si>
    <t xml:space="preserve">招商局集团（集团统一校招）</t>
  </si>
  <si>
    <t xml:space="preserve">国务院国资委</t>
  </si>
  <si>
    <t xml:space="preserve">港口、交通、地产、工程等二级单位岗位</t>
  </si>
  <si>
    <t xml:space="preserve">招商局集团招聘官网</t>
  </si>
  <si>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上旬开始网申，各单位截止不同</t>
    </r>
  </si>
  <si>
    <t xml:space="preserve">下属有港口、交通、工程咨询单位，可逐个查看</t>
  </si>
  <si>
    <t xml:space="preserve">中建四局建设投资有限公司</t>
  </si>
  <si>
    <r>
      <rPr>
        <sz val="10"/>
        <rFont val="WenQuanYi Zen Hei"/>
        <family val="2"/>
      </rPr>
      <t xml:space="preserve">技术管理、质量管控、资料台账管理（约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人）</t>
    </r>
  </si>
  <si>
    <t xml:space="preserve">本科及以上；需中国建筑高校毕业生接收考试成绩</t>
  </si>
  <si>
    <r>
      <rPr>
        <sz val="10"/>
        <rFont val="Arial"/>
        <family val="0"/>
        <charset val="1"/>
      </rPr>
      <t xml:space="preserve">2026-09-02 </t>
    </r>
    <r>
      <rPr>
        <sz val="10"/>
        <rFont val="WenQuanYi Zen Hei"/>
        <family val="2"/>
      </rPr>
      <t xml:space="preserve">发布，截止待核</t>
    </r>
  </si>
  <si>
    <t xml:space="preserve">名额少，偏投资管理</t>
  </si>
  <si>
    <t xml:space="preserve">中铁广州工程局深圳工程有限公司（见习生）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</si>
  <si>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届见习生（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人）</t>
    </r>
  </si>
  <si>
    <t xml:space="preserve">已发布，截止待核</t>
  </si>
  <si>
    <t xml:space="preserve">见习性质，可作为进入通道</t>
  </si>
  <si>
    <t xml:space="preserve">华润置地（“百匠新人”）</t>
  </si>
  <si>
    <t xml:space="preserve">华润集团</t>
  </si>
  <si>
    <r>
      <rPr>
        <sz val="10"/>
        <rFont val="WenQuanYi Zen Hei"/>
        <family val="2"/>
      </rPr>
      <t xml:space="preserve">约</t>
    </r>
    <r>
      <rPr>
        <sz val="10"/>
        <rFont val="Arial"/>
        <family val="0"/>
        <charset val="1"/>
      </rPr>
      <t xml:space="preserve">300</t>
    </r>
    <r>
      <rPr>
        <sz val="10"/>
        <rFont val="WenQuanYi Zen Hei"/>
        <family val="2"/>
      </rPr>
      <t xml:space="preserve">人；工程等岗；</t>
    </r>
    <r>
      <rPr>
        <sz val="10"/>
        <rFont val="Arial"/>
        <family val="0"/>
        <charset val="1"/>
      </rPr>
      <t xml:space="preserve">8-13k</t>
    </r>
  </si>
  <si>
    <r>
      <rPr>
        <sz val="10"/>
        <rFont val="WenQuanYi Zen Hei"/>
        <family val="2"/>
      </rPr>
      <t xml:space="preserve">本科及以上；毕业 </t>
    </r>
    <r>
      <rPr>
        <sz val="10"/>
        <rFont val="Arial"/>
        <family val="0"/>
        <charset val="1"/>
      </rPr>
      <t xml:space="preserve">2026.09.01-2027.08.31</t>
    </r>
  </si>
  <si>
    <r>
      <rPr>
        <sz val="10"/>
        <rFont val="WenQuanYi Zen Hei"/>
        <family val="2"/>
      </rPr>
      <t xml:space="preserve">华润置地招聘官网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</t>
    </r>
  </si>
  <si>
    <r>
      <rPr>
        <sz val="10"/>
        <rFont val="Arial"/>
        <family val="0"/>
        <charset val="1"/>
      </rPr>
      <t xml:space="preserve">2026-09 </t>
    </r>
    <r>
      <rPr>
        <sz val="10"/>
        <rFont val="WenQuanYi Zen Hei"/>
        <family val="2"/>
      </rPr>
      <t xml:space="preserve">发布，截止待核</t>
    </r>
  </si>
  <si>
    <t xml:space="preserve">地产工程管理方向</t>
  </si>
  <si>
    <t xml:space="preserve">招商局蛇口工业区（招商蛇口）</t>
  </si>
  <si>
    <t xml:space="preserve">招商局集团</t>
  </si>
  <si>
    <t xml:space="preserve">工程管理类等</t>
  </si>
  <si>
    <r>
      <rPr>
        <sz val="10"/>
        <rFont val="WenQuanYi Zen Hei"/>
        <family val="2"/>
      </rPr>
      <t xml:space="preserve">公众号“招商蛇口招聘”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招商蛇口招聘官网</t>
    </r>
  </si>
  <si>
    <t xml:space="preserve">已截止，关注补录</t>
  </si>
  <si>
    <t xml:space="preserve">广州（全国）</t>
  </si>
  <si>
    <t xml:space="preserve">保利发展控股集团</t>
  </si>
  <si>
    <t xml:space="preserve">中国保利</t>
  </si>
  <si>
    <t xml:space="preserve">“启航计划”管培生、营销、合伙人等（工程岗待核）</t>
  </si>
  <si>
    <r>
      <rPr>
        <sz val="10"/>
        <rFont val="WenQuanYi Zen Hei"/>
        <family val="2"/>
      </rPr>
      <t xml:space="preserve">本科及以上；毕业 </t>
    </r>
    <r>
      <rPr>
        <sz val="10"/>
        <rFont val="Arial"/>
        <family val="0"/>
        <charset val="1"/>
      </rPr>
      <t xml:space="preserve">2026.09-2027.09</t>
    </r>
  </si>
  <si>
    <t xml:space="preserve">保利官方招聘网站</t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</si>
  <si>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届已启动，截止待核</t>
    </r>
  </si>
  <si>
    <t xml:space="preserve">地产，工程岗不确定</t>
  </si>
  <si>
    <r>
      <rPr>
        <sz val="10"/>
        <rFont val="WenQuanYi Zen Hei"/>
        <family val="2"/>
      </rPr>
      <t xml:space="preserve">深圳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珠海等</t>
    </r>
  </si>
  <si>
    <t xml:space="preserve">佳兆业集团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</si>
  <si>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届全球校招（工程岗以公告为准）</t>
    </r>
  </si>
  <si>
    <t xml:space="preserve">佳兆业官方招聘渠道</t>
  </si>
  <si>
    <t xml:space="preserve">2026-09-21 ~ 2026-11-21</t>
  </si>
  <si>
    <t xml:space="preserve">民营地产，作保底</t>
  </si>
  <si>
    <t xml:space="preserve">上海市国资委</t>
  </si>
  <si>
    <r>
      <rPr>
        <sz val="10"/>
        <rFont val="WenQuanYi Zen Hei"/>
        <family val="2"/>
      </rPr>
      <t xml:space="preserve">本科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硕士</t>
    </r>
  </si>
  <si>
    <t xml:space="preserve">同济大学</t>
  </si>
  <si>
    <t xml:space="preserve">高校企业</t>
  </si>
  <si>
    <t xml:space="preserve">本科及以上（设计岗多要求硕士）</t>
  </si>
  <si>
    <r>
      <rPr>
        <sz val="10"/>
        <rFont val="Arial"/>
        <family val="0"/>
        <charset val="1"/>
      </rPr>
      <t xml:space="preserve">2026-09-09 </t>
    </r>
    <r>
      <rPr>
        <sz val="10"/>
        <rFont val="WenQuanYi Zen Hei"/>
        <family val="2"/>
      </rPr>
      <t xml:space="preserve">启动；转载称简历投递 </t>
    </r>
    <r>
      <rPr>
        <sz val="10"/>
        <rFont val="Arial"/>
        <family val="0"/>
        <charset val="1"/>
      </rPr>
      <t xml:space="preserve">09-08 ~ 09-28</t>
    </r>
  </si>
  <si>
    <t xml:space="preserve">中国交建</t>
  </si>
  <si>
    <t xml:space="preserve">硕士为主</t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</si>
  <si>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届已发布，截止待核</t>
    </r>
  </si>
  <si>
    <r>
      <rPr>
        <sz val="10"/>
        <rFont val="WenQuanYi Zen Hei"/>
        <family val="2"/>
      </rPr>
      <t xml:space="preserve">牛企直聘校招 </t>
    </r>
    <r>
      <rPr>
        <sz val="10"/>
        <rFont val="Arial"/>
        <family val="0"/>
        <charset val="1"/>
      </rPr>
      <t xml:space="preserve">campus.niuqizp.com</t>
    </r>
    <r>
      <rPr>
        <sz val="10"/>
        <rFont val="WenQuanYi Zen Hei"/>
        <family val="2"/>
      </rPr>
      <t xml:space="preserve">（转载）（未见原文）</t>
    </r>
  </si>
  <si>
    <t xml:space="preserve">中国铁建</t>
  </si>
  <si>
    <t xml:space="preserve">硕士及以上</t>
  </si>
  <si>
    <t xml:space="preserve">2026-07-05 ~ 2026-08-02</t>
  </si>
  <si>
    <t xml:space="preserve">上海建科工程咨询有限公司</t>
  </si>
  <si>
    <t xml:space="preserve">上海建科集团</t>
  </si>
  <si>
    <r>
      <rPr>
        <sz val="10"/>
        <rFont val="WenQuanYi Zen Hei"/>
        <family val="2"/>
      </rPr>
      <t xml:space="preserve">工程咨询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监理</t>
    </r>
  </si>
  <si>
    <t xml:space="preserve">2026-09-21 ~ 2026-10-19</t>
  </si>
  <si>
    <t xml:space="preserve">刚截止，可改投建科栋梁计划其他单位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</si>
  <si>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campus.niuqizp.com/schedule-7y8UNznZt.html</t>
    </r>
  </si>
  <si>
    <r>
      <rPr>
        <sz val="10"/>
        <rFont val="WenQuanYi Zen Hei"/>
        <family val="2"/>
      </rPr>
      <t xml:space="preserve">上海建工集团（一建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七建、机施、基础、市政等）</t>
    </r>
  </si>
  <si>
    <t xml:space="preserve">工程技术、施工管理等</t>
  </si>
  <si>
    <r>
      <rPr>
        <sz val="10"/>
        <rFont val="WenQuanYi Zen Hei"/>
        <family val="2"/>
      </rPr>
      <t xml:space="preserve">上海建工官网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公众号“上海建工”</t>
    </r>
  </si>
  <si>
    <r>
      <rPr>
        <sz val="10"/>
        <rFont val="Arial"/>
        <family val="0"/>
        <charset val="1"/>
      </rPr>
      <t xml:space="preserve">2026-09-16 </t>
    </r>
    <r>
      <rPr>
        <sz val="10"/>
        <rFont val="WenQuanYi Zen Hei"/>
        <family val="2"/>
      </rPr>
      <t xml:space="preserve">公告已发，截止待核</t>
    </r>
  </si>
  <si>
    <r>
      <rPr>
        <sz val="10"/>
        <rFont val="WenQuanYi Zen Hei"/>
        <family val="2"/>
      </rPr>
      <t xml:space="preserve">上海本地施工龙头，钢结构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大跨结构项目多</t>
    </r>
  </si>
  <si>
    <t xml:space="preserve">中交第三航务工程局（总部全球校招）</t>
  </si>
  <si>
    <t xml:space="preserve">工程技术、商务、安全等</t>
  </si>
  <si>
    <r>
      <rPr>
        <sz val="10"/>
        <rFont val="WenQuanYi Zen Hei"/>
        <family val="2"/>
      </rPr>
      <t xml:space="preserve">中交三航局人才发展平台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中国交建人才招聘平台</t>
    </r>
  </si>
  <si>
    <t xml:space="preserve">港航施工；下属子公司分别招聘</t>
  </si>
  <si>
    <t xml:space="preserve">中交三航局第一工程有限公司</t>
  </si>
  <si>
    <t xml:space="preserve">工程技术，含海外岗</t>
  </si>
  <si>
    <t xml:space="preserve">2026-09-05 ~ 2026-10-03</t>
  </si>
  <si>
    <t xml:space="preserve">中交三航局新能源公司</t>
  </si>
  <si>
    <t xml:space="preserve">海上风电施工等</t>
  </si>
  <si>
    <t xml:space="preserve">海上风电基础为钢结构，有防腐需求；已截止</t>
  </si>
  <si>
    <t xml:space="preserve">中船第九设计研究院工程有限公司</t>
  </si>
  <si>
    <t xml:space="preserve">中国船舶</t>
  </si>
  <si>
    <t xml:space="preserve">结构设计、勘察等（以公告为准）</t>
  </si>
  <si>
    <t xml:space="preserve">本硕</t>
  </si>
  <si>
    <r>
      <rPr>
        <sz val="10"/>
        <rFont val="WenQuanYi Zen Hei"/>
        <family val="2"/>
      </rPr>
      <t xml:space="preserve">船厂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工业建筑结构设计</t>
    </r>
  </si>
  <si>
    <t xml:space="preserve">中国电力工程顾问集团华东电力设计院有限公司</t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</si>
  <si>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个岗位（含土建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结构类，以公告为准）</t>
    </r>
  </si>
  <si>
    <r>
      <rPr>
        <sz val="10"/>
        <rFont val="WenQuanYi Zen Hei"/>
        <family val="2"/>
      </rPr>
      <t xml:space="preserve">硕士及以上；毕业 </t>
    </r>
    <r>
      <rPr>
        <sz val="10"/>
        <rFont val="Arial"/>
        <family val="0"/>
        <charset val="1"/>
      </rPr>
      <t xml:space="preserve">2026.07.01-2027.06.30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CET-6</t>
    </r>
  </si>
  <si>
    <t xml:space="preserve">扫描公告二维码进入华东院网申系统</t>
  </si>
  <si>
    <r>
      <rPr>
        <sz val="10"/>
        <rFont val="Arial"/>
        <family val="0"/>
        <charset val="1"/>
      </rPr>
      <t xml:space="preserve">2026-10-14 </t>
    </r>
    <r>
      <rPr>
        <sz val="10"/>
        <rFont val="WenQuanYi Zen Hei"/>
        <family val="2"/>
      </rPr>
      <t xml:space="preserve">发布，截止见正文</t>
    </r>
  </si>
  <si>
    <t xml:space="preserve">电力设计院土建结构岗；注意要求六级，你目前是四级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</si>
  <si>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campus.niuqizp.com/job-vykN5aMZC.html</t>
    </r>
  </si>
  <si>
    <r>
      <rPr>
        <sz val="10"/>
        <rFont val="WenQuanYi Zen Hei"/>
        <family val="2"/>
      </rPr>
      <t xml:space="preserve">上海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重庆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深圳等</t>
    </r>
  </si>
  <si>
    <t xml:space="preserve">中冶赛迪集团有限公司</t>
  </si>
  <si>
    <r>
      <rPr>
        <sz val="10"/>
        <rFont val="WenQuanYi Zen Hei"/>
        <family val="2"/>
      </rPr>
      <t xml:space="preserve">中国五矿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中国中冶</t>
    </r>
  </si>
  <si>
    <t xml:space="preserve">工程技术类（建筑、土木工程、工程管理等）</t>
  </si>
  <si>
    <t xml:space="preserve">2026-09-02 ~ 2026-11-01</t>
  </si>
  <si>
    <t xml:space="preserve">冶金工程设计，含工业厂房钢结构设计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</si>
  <si>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campus.niuqizp.com/job-v8l5atCC5.html</t>
    </r>
  </si>
  <si>
    <t xml:space="preserve">上海同济城市规划设计研究院</t>
  </si>
  <si>
    <t xml:space="preserve">规划、市政等</t>
  </si>
  <si>
    <r>
      <rPr>
        <sz val="10"/>
        <rFont val="WenQuanYi Zen Hei"/>
        <family val="2"/>
      </rPr>
      <t xml:space="preserve">简历投递截止 </t>
    </r>
    <r>
      <rPr>
        <sz val="10"/>
        <rFont val="Arial"/>
        <family val="0"/>
        <charset val="1"/>
      </rPr>
      <t xml:space="preserve">2026-11-08</t>
    </r>
  </si>
  <si>
    <t xml:space="preserve">以规划为主，市政岗可看</t>
  </si>
  <si>
    <t xml:space="preserve">上海申迪（集团）有限公司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</si>
  <si>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届秋季校招（城市运营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工程等）</t>
    </r>
  </si>
  <si>
    <r>
      <rPr>
        <sz val="10"/>
        <rFont val="WenQuanYi Zen Hei"/>
        <family val="2"/>
      </rPr>
      <t xml:space="preserve">报名截止 </t>
    </r>
    <r>
      <rPr>
        <sz val="10"/>
        <rFont val="Arial"/>
        <family val="0"/>
        <charset val="1"/>
      </rPr>
      <t xml:space="preserve">2026-10-26</t>
    </r>
  </si>
  <si>
    <t xml:space="preserve">工程管理类备选</t>
  </si>
  <si>
    <t xml:space="preserve">上海（济南、青岛等）</t>
  </si>
  <si>
    <t xml:space="preserve">中国铁路通信信号上海工程局集团</t>
  </si>
  <si>
    <t xml:space="preserve">中国通号</t>
  </si>
  <si>
    <t xml:space="preserve">2026-09-04 ~ 2026-11-04</t>
  </si>
  <si>
    <t xml:space="preserve">通号施工，土建岗较少</t>
  </si>
  <si>
    <t xml:space="preserve">宁波</t>
  </si>
  <si>
    <t xml:space="preserve">中交三航局第四工程有限公司</t>
  </si>
  <si>
    <r>
      <rPr>
        <sz val="10"/>
        <rFont val="WenQuanYi Zen Hei"/>
        <family val="2"/>
      </rPr>
      <t xml:space="preserve">工程技术（港航、土木、道桥）、商务管理、安全管理等；本科年薪</t>
    </r>
    <r>
      <rPr>
        <sz val="10"/>
        <rFont val="Arial"/>
        <family val="0"/>
        <charset val="1"/>
      </rPr>
      <t xml:space="preserve">10-24</t>
    </r>
    <r>
      <rPr>
        <sz val="10"/>
        <rFont val="WenQuanYi Zen Hei"/>
        <family val="2"/>
      </rPr>
      <t xml:space="preserve">万，硕士</t>
    </r>
    <r>
      <rPr>
        <sz val="10"/>
        <rFont val="Arial"/>
        <family val="0"/>
        <charset val="1"/>
      </rPr>
      <t xml:space="preserve">13-24</t>
    </r>
    <r>
      <rPr>
        <sz val="10"/>
        <rFont val="WenQuanYi Zen Hei"/>
        <family val="2"/>
      </rPr>
      <t xml:space="preserve">万</t>
    </r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</si>
  <si>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届本科及硕士</t>
    </r>
  </si>
  <si>
    <r>
      <rPr>
        <sz val="10"/>
        <rFont val="Arial"/>
        <family val="0"/>
        <charset val="1"/>
      </rPr>
      <t xml:space="preserve">2026-09-05 ~ 2026-11-05</t>
    </r>
    <r>
      <rPr>
        <sz val="10"/>
        <rFont val="WenQuanYi Zen Hei"/>
        <family val="2"/>
      </rPr>
      <t xml:space="preserve">（另一来源显示 </t>
    </r>
    <r>
      <rPr>
        <sz val="10"/>
        <rFont val="Arial"/>
        <family val="0"/>
        <charset val="1"/>
      </rPr>
      <t xml:space="preserve">10-03</t>
    </r>
    <r>
      <rPr>
        <sz val="10"/>
        <rFont val="WenQuanYi Zen Hei"/>
        <family val="2"/>
      </rPr>
      <t xml:space="preserve">，需核实）</t>
    </r>
  </si>
  <si>
    <r>
      <rPr>
        <sz val="10"/>
        <rFont val="WenQuanYi Zen Hei"/>
        <family val="2"/>
      </rPr>
      <t xml:space="preserve">仍在网申期；桥梁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港航施工技术岗</t>
    </r>
  </si>
  <si>
    <t xml:space="preserve">杭州（全省）</t>
  </si>
  <si>
    <r>
      <rPr>
        <sz val="10"/>
        <rFont val="WenQuanYi Zen Hei"/>
        <family val="2"/>
      </rPr>
      <t xml:space="preserve">浙江省交通投资集团（集团校招，含浙江金温铁道开发公司</t>
    </r>
    <r>
      <rPr>
        <sz val="10"/>
        <rFont val="Arial"/>
        <family val="0"/>
        <charset val="1"/>
      </rPr>
      <t xml:space="preserve">29</t>
    </r>
    <r>
      <rPr>
        <sz val="10"/>
        <rFont val="WenQuanYi Zen Hei"/>
        <family val="2"/>
      </rPr>
      <t xml:space="preserve">人等）</t>
    </r>
  </si>
  <si>
    <t xml:space="preserve">浙江省国资委</t>
  </si>
  <si>
    <t xml:space="preserve">交通工程、铁路、路桥等</t>
  </si>
  <si>
    <r>
      <rPr>
        <sz val="10"/>
        <rFont val="WenQuanYi Zen Hei"/>
        <family val="2"/>
      </rPr>
      <t xml:space="preserve">公告内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移动端链接（建议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端）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</si>
  <si>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届已发布（北大专场 </t>
    </r>
    <r>
      <rPr>
        <sz val="10"/>
        <rFont val="Arial"/>
        <family val="0"/>
        <charset val="1"/>
      </rPr>
      <t xml:space="preserve">10-09</t>
    </r>
    <r>
      <rPr>
        <sz val="10"/>
        <rFont val="WenQuanYi Zen Hei"/>
        <family val="2"/>
      </rPr>
      <t xml:space="preserve">），截止待核</t>
    </r>
  </si>
  <si>
    <t xml:space="preserve">浙江交通龙头，下属浙江交工、数智交院可能分批发布</t>
  </si>
  <si>
    <t xml:space="preserve">中国能建中电工程浙江院（浙江省电力设计院）</t>
  </si>
  <si>
    <t xml:space="preserve">设计类岗位</t>
  </si>
  <si>
    <r>
      <rPr>
        <sz val="10"/>
        <rFont val="Arial"/>
        <family val="0"/>
        <charset val="1"/>
      </rPr>
      <t xml:space="preserve">2026-08-30 </t>
    </r>
    <r>
      <rPr>
        <sz val="10"/>
        <rFont val="WenQuanYi Zen Hei"/>
        <family val="2"/>
      </rPr>
      <t xml:space="preserve">发布；集团网申至 </t>
    </r>
    <r>
      <rPr>
        <sz val="10"/>
        <rFont val="Arial"/>
        <family val="0"/>
        <charset val="1"/>
      </rPr>
      <t xml:space="preserve">10-30</t>
    </r>
  </si>
  <si>
    <t xml:space="preserve">电力设计院土建结构岗可关注</t>
  </si>
  <si>
    <r>
      <rPr>
        <sz val="10"/>
        <rFont val="WenQuanYi Zen Hei"/>
        <family val="2"/>
      </rPr>
      <t xml:space="preserve">宁波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大连</t>
    </r>
  </si>
  <si>
    <t xml:space="preserve">中铁十九局集团</t>
  </si>
  <si>
    <t xml:space="preserve">2026-09-22 ~ 2026-10-20</t>
  </si>
  <si>
    <t xml:space="preserve">今日截止，抓紧</t>
  </si>
  <si>
    <t xml:space="preserve">浙江交通资源投资集团</t>
  </si>
  <si>
    <t xml:space="preserve">浙江交投</t>
  </si>
  <si>
    <t xml:space="preserve">地质、采矿、测绘、沥青材料研究等</t>
  </si>
  <si>
    <t xml:space="preserve">2026-09-16 ~ 2026-11-14</t>
  </si>
  <si>
    <t xml:space="preserve">材料研究岗有交叉，结构对口度一般</t>
  </si>
  <si>
    <t xml:space="preserve">江苏省国资委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</si>
  <si>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届硕士研究生（国内需 </t>
    </r>
    <r>
      <rPr>
        <sz val="10"/>
        <rFont val="Arial"/>
        <family val="0"/>
        <charset val="1"/>
      </rPr>
      <t xml:space="preserve">2027-09-30 </t>
    </r>
    <r>
      <rPr>
        <sz val="10"/>
        <rFont val="WenQuanYi Zen Hei"/>
        <family val="2"/>
      </rPr>
      <t xml:space="preserve">前取得学历学位证）</t>
    </r>
  </si>
  <si>
    <r>
      <rPr>
        <sz val="10"/>
        <rFont val="Arial"/>
        <family val="0"/>
        <charset val="1"/>
      </rPr>
      <t xml:space="preserve">2026-09-25 </t>
    </r>
    <r>
      <rPr>
        <sz val="10"/>
        <rFont val="WenQuanYi Zen Hei"/>
        <family val="2"/>
      </rPr>
      <t xml:space="preserve">发布，截止待核</t>
    </r>
  </si>
  <si>
    <r>
      <rPr>
        <sz val="10"/>
        <rFont val="Arial"/>
        <family val="0"/>
        <charset val="1"/>
      </rPr>
      <t xml:space="preserve">2026-09-07 </t>
    </r>
    <r>
      <rPr>
        <sz val="10"/>
        <rFont val="WenQuanYi Zen Hei"/>
        <family val="2"/>
      </rPr>
      <t xml:space="preserve">发布，截止待核</t>
    </r>
  </si>
  <si>
    <r>
      <rPr>
        <sz val="10"/>
        <rFont val="Arial"/>
        <family val="0"/>
        <charset val="1"/>
      </rPr>
      <t xml:space="preserve">2026-09-11 </t>
    </r>
    <r>
      <rPr>
        <sz val="10"/>
        <rFont val="WenQuanYi Zen Hei"/>
        <family val="2"/>
      </rPr>
      <t xml:space="preserve">启动，截止待核</t>
    </r>
  </si>
  <si>
    <r>
      <rPr>
        <sz val="10"/>
        <rFont val="WenQuanYi Zen Hei"/>
        <family val="2"/>
      </rPr>
      <t xml:space="preserve">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苏州等</t>
    </r>
  </si>
  <si>
    <t xml:space="preserve">江苏省港口集团</t>
  </si>
  <si>
    <t xml:space="preserve">港口工程等</t>
  </si>
  <si>
    <t xml:space="preserve">2026-09-17 ~ 2026-10-20</t>
  </si>
  <si>
    <t xml:space="preserve">今日截止</t>
  </si>
  <si>
    <t xml:space="preserve">中建安装集团有限公司</t>
  </si>
  <si>
    <r>
      <rPr>
        <sz val="10"/>
        <rFont val="WenQuanYi Zen Hei"/>
        <family val="2"/>
      </rPr>
      <t xml:space="preserve">工程技术等（约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人；</t>
    </r>
    <r>
      <rPr>
        <sz val="10"/>
        <rFont val="Arial"/>
        <family val="0"/>
        <charset val="1"/>
      </rPr>
      <t xml:space="preserve">8-10k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</si>
  <si>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2026-09-20 </t>
    </r>
    <r>
      <rPr>
        <sz val="10"/>
        <rFont val="WenQuanYi Zen Hei"/>
        <family val="2"/>
      </rPr>
      <t xml:space="preserve">发布，截止待核</t>
    </r>
  </si>
  <si>
    <t xml:space="preserve">以机电安装为主，结构对口度一般</t>
  </si>
  <si>
    <t xml:space="preserve">苏州</t>
  </si>
  <si>
    <t xml:space="preserve">永卓控股（永钢集团）</t>
  </si>
  <si>
    <t xml:space="preserve">工程建设类等</t>
  </si>
  <si>
    <t xml:space="preserve">2026-09-01 ~ 2026-09-29</t>
  </si>
  <si>
    <t xml:space="preserve">硕士、博士</t>
  </si>
  <si>
    <t xml:space="preserve">2026-06-16 ~ 2026-08-15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</si>
  <si>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campus.niuqizp.com/job-v8r5zzLtZ.html</t>
    </r>
  </si>
  <si>
    <t xml:space="preserve">济南（全国）</t>
  </si>
  <si>
    <t xml:space="preserve">中建八局第一建设有限公司（中建八一）</t>
  </si>
  <si>
    <r>
      <rPr>
        <sz val="10"/>
        <rFont val="WenQuanYi Zen Hei"/>
        <family val="2"/>
      </rPr>
      <t xml:space="preserve">中国建筑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中建八局</t>
    </r>
  </si>
  <si>
    <r>
      <rPr>
        <sz val="10"/>
        <rFont val="WenQuanYi Zen Hei"/>
        <family val="2"/>
      </rPr>
      <t xml:space="preserve">中建八局招聘网 </t>
    </r>
    <r>
      <rPr>
        <sz val="10"/>
        <rFont val="Arial"/>
        <family val="0"/>
        <charset val="1"/>
      </rPr>
      <t xml:space="preserve">job.cscec8b.com.cn</t>
    </r>
  </si>
  <si>
    <t xml:space="preserve">2026-08-14 ~ 2026-09-11</t>
  </si>
  <si>
    <t xml:space="preserve">山东（全国）</t>
  </si>
  <si>
    <t xml:space="preserve">中建八局城市发展公司</t>
  </si>
  <si>
    <t xml:space="preserve">中铁十局集团</t>
  </si>
  <si>
    <r>
      <rPr>
        <sz val="10"/>
        <rFont val="WenQuanYi Zen Hei"/>
        <family val="2"/>
      </rPr>
      <t xml:space="preserve">物资设备岗（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人，是否为校招待核）</t>
    </r>
  </si>
  <si>
    <r>
      <rPr>
        <sz val="10"/>
        <rFont val="Arial"/>
        <family val="0"/>
        <charset val="1"/>
      </rPr>
      <t xml:space="preserve">2026-09-06 </t>
    </r>
    <r>
      <rPr>
        <sz val="10"/>
        <rFont val="WenQuanYi Zen Hei"/>
        <family val="2"/>
      </rPr>
      <t xml:space="preserve">发布</t>
    </r>
  </si>
  <si>
    <r>
      <rPr>
        <sz val="10"/>
        <rFont val="WenQuanYi Zen Hei"/>
        <family val="2"/>
      </rPr>
      <t xml:space="preserve">已发布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待核</t>
    </r>
  </si>
  <si>
    <t xml:space="preserve">岗位与结构方向关联弱</t>
  </si>
  <si>
    <r>
      <rPr>
        <sz val="10"/>
        <rFont val="WenQuanYi Zen Hei"/>
        <family val="2"/>
      </rPr>
      <t xml:space="preserve">本科及以上；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届及择业期内未就业毕业生</t>
    </r>
  </si>
  <si>
    <r>
      <rPr>
        <sz val="10"/>
        <rFont val="Arial"/>
        <family val="0"/>
        <charset val="1"/>
      </rPr>
      <t xml:space="preserve">2026-09-12 </t>
    </r>
    <r>
      <rPr>
        <sz val="10"/>
        <rFont val="WenQuanYi Zen Hei"/>
        <family val="2"/>
      </rPr>
      <t xml:space="preserve">启动，截止待核</t>
    </r>
  </si>
  <si>
    <r>
      <rPr>
        <sz val="10"/>
        <rFont val="WenQuanYi Zen Hei"/>
        <family val="2"/>
      </rPr>
      <t xml:space="preserve">本科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硕士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博士</t>
    </r>
  </si>
  <si>
    <r>
      <rPr>
        <sz val="10"/>
        <rFont val="Arial"/>
        <family val="0"/>
        <charset val="1"/>
      </rPr>
      <t xml:space="preserve">2026-09-08 </t>
    </r>
    <r>
      <rPr>
        <sz val="10"/>
        <rFont val="WenQuanYi Zen Hei"/>
        <family val="2"/>
      </rPr>
      <t xml:space="preserve">启动；聚合站显示 </t>
    </r>
    <r>
      <rPr>
        <sz val="10"/>
        <rFont val="Arial"/>
        <family val="0"/>
        <charset val="1"/>
      </rPr>
      <t xml:space="preserve">2026-09-23 ~ 2026-10-21</t>
    </r>
    <r>
      <rPr>
        <sz val="10"/>
        <rFont val="WenQuanYi Zen Hei"/>
        <family val="2"/>
      </rPr>
      <t xml:space="preserve">（需核实）</t>
    </r>
  </si>
  <si>
    <t xml:space="preserve">天津（大连、青岛等）</t>
  </si>
  <si>
    <t xml:space="preserve">中交第一航务工程局有限公司</t>
  </si>
  <si>
    <t xml:space="preserve">土木、港口、水利水电、工程管理等</t>
  </si>
  <si>
    <t xml:space="preserve">中国交建人才招聘平台；公众号“一航人力”</t>
  </si>
  <si>
    <t xml:space="preserve">2026-08-31 ~ 2026-10-30</t>
  </si>
  <si>
    <t xml:space="preserve">港航龙头，仍可投（含青岛二公司等子单位）</t>
  </si>
  <si>
    <r>
      <rPr>
        <sz val="10"/>
        <rFont val="WenQuanYi Zen Hei"/>
        <family val="2"/>
      </rPr>
      <t xml:space="preserve">牛企直聘校招 </t>
    </r>
    <r>
      <rPr>
        <sz val="10"/>
        <rFont val="Arial"/>
        <family val="0"/>
        <charset val="1"/>
      </rPr>
      <t xml:space="preserve">campus.niuqizp.com</t>
    </r>
    <r>
      <rPr>
        <sz val="10"/>
        <rFont val="WenQuanYi Zen Hei"/>
        <family val="2"/>
      </rPr>
      <t xml:space="preserve">（转载）（转自公众号“一航人力”）</t>
    </r>
  </si>
  <si>
    <t xml:space="preserve">天津港航工程有限公司</t>
  </si>
  <si>
    <t xml:space="preserve">天津港集团</t>
  </si>
  <si>
    <t xml:space="preserve">港航工程等</t>
  </si>
  <si>
    <t xml:space="preserve">港航施工</t>
  </si>
  <si>
    <t xml:space="preserve">天津等</t>
  </si>
  <si>
    <t xml:space="preserve">中铁城建集团</t>
  </si>
  <si>
    <t xml:space="preserve">2026-09-14 ~ 2026-10-12</t>
  </si>
  <si>
    <t xml:space="preserve">石家庄等</t>
  </si>
  <si>
    <t xml:space="preserve">河北建设投资集团（河北建投）</t>
  </si>
  <si>
    <t xml:space="preserve">河北省国资委</t>
  </si>
  <si>
    <r>
      <rPr>
        <sz val="10"/>
        <rFont val="WenQuanYi Zen Hei"/>
        <family val="2"/>
      </rPr>
      <t xml:space="preserve">技术类（计算机、电气、机械、土木工程等）、职能类；共</t>
    </r>
    <r>
      <rPr>
        <sz val="10"/>
        <rFont val="Arial"/>
        <family val="0"/>
        <charset val="1"/>
      </rPr>
      <t xml:space="preserve">112</t>
    </r>
    <r>
      <rPr>
        <sz val="10"/>
        <rFont val="WenQuanYi Zen Hei"/>
        <family val="2"/>
      </rPr>
      <t xml:space="preserve">人（优才</t>
    </r>
    <r>
      <rPr>
        <sz val="10"/>
        <rFont val="Arial"/>
        <family val="0"/>
        <charset val="1"/>
      </rPr>
      <t xml:space="preserve">34+</t>
    </r>
    <r>
      <rPr>
        <sz val="10"/>
        <rFont val="WenQuanYi Zen Hei"/>
        <family val="2"/>
      </rPr>
      <t xml:space="preserve">校招</t>
    </r>
    <r>
      <rPr>
        <sz val="10"/>
        <rFont val="Arial"/>
        <family val="0"/>
        <charset val="1"/>
      </rPr>
      <t xml:space="preserve">78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</si>
  <si>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届本科及以上；</t>
    </r>
    <r>
      <rPr>
        <sz val="10"/>
        <rFont val="Arial"/>
        <family val="0"/>
        <charset val="1"/>
      </rPr>
      <t xml:space="preserve">2027-08-31 </t>
    </r>
    <r>
      <rPr>
        <sz val="10"/>
        <rFont val="WenQuanYi Zen Hei"/>
        <family val="2"/>
      </rPr>
      <t xml:space="preserve">前取得学历学位</t>
    </r>
  </si>
  <si>
    <r>
      <rPr>
        <sz val="10"/>
        <rFont val="Arial"/>
        <family val="0"/>
        <charset val="1"/>
      </rPr>
      <t xml:space="preserve">2026-09-15 </t>
    </r>
    <r>
      <rPr>
        <sz val="10"/>
        <rFont val="WenQuanYi Zen Hei"/>
        <family val="2"/>
      </rPr>
      <t xml:space="preserve">开始报名，截止待核</t>
    </r>
  </si>
  <si>
    <t xml:space="preserve">能源投资集团，土木岗少</t>
  </si>
  <si>
    <r>
      <rPr>
        <sz val="10"/>
        <rFont val="WenQuanYi Zen Hei"/>
        <family val="2"/>
      </rPr>
      <t xml:space="preserve">国企招聘网 </t>
    </r>
    <r>
      <rPr>
        <sz val="10"/>
        <rFont val="Arial"/>
        <family val="0"/>
        <charset val="1"/>
      </rPr>
      <t xml:space="preserve">m.gwy.com/gqzp/413355.html</t>
    </r>
  </si>
  <si>
    <r>
      <rPr>
        <sz val="10"/>
        <rFont val="WenQuanYi Zen Hei"/>
        <family val="2"/>
      </rPr>
      <t xml:space="preserve">沈阳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大连等</t>
    </r>
  </si>
  <si>
    <t xml:space="preserve">中建八局东北公司（“新砼人”）</t>
  </si>
  <si>
    <t xml:space="preserve">仍可投</t>
  </si>
  <si>
    <t xml:space="preserve">大连</t>
  </si>
  <si>
    <t xml:space="preserve">中冶北方工程技术有限公司</t>
  </si>
  <si>
    <t xml:space="preserve">中国中冶</t>
  </si>
  <si>
    <t xml:space="preserve">工程设计等</t>
  </si>
  <si>
    <r>
      <rPr>
        <sz val="10"/>
        <rFont val="WenQuanYi Zen Hei"/>
        <family val="2"/>
      </rPr>
      <t xml:space="preserve">邮箱投递（邮件命名：</t>
    </r>
    <r>
      <rPr>
        <sz val="10"/>
        <rFont val="Arial"/>
        <family val="0"/>
        <charset val="1"/>
      </rPr>
      <t xml:space="preserve">2027-</t>
    </r>
    <r>
      <rPr>
        <sz val="10"/>
        <rFont val="WenQuanYi Zen Hei"/>
        <family val="2"/>
      </rPr>
      <t xml:space="preserve">姓名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院校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学历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专业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意向岗位）</t>
    </r>
  </si>
  <si>
    <t xml:space="preserve">2026-09-23 ~ 2026-10-21</t>
  </si>
  <si>
    <t xml:space="preserve">冶金设计院，工业钢结构设计；即将截止</t>
  </si>
  <si>
    <t xml:space="preserve">大连等</t>
  </si>
  <si>
    <t xml:space="preserve">中冶焦耐工程技术有限公司</t>
  </si>
  <si>
    <t xml:space="preserve">2026-08-12 ~ 2026-09-09</t>
  </si>
  <si>
    <t xml:space="preserve">2026-06-12 ~ 2026-07-10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</si>
  <si>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campus.niuqizp.com/schedule-7Yws5CtZ5.html</t>
    </r>
  </si>
  <si>
    <t xml:space="preserve">2026-06-09 ~ 2026-07-09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</si>
  <si>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campus.niuqizp.com/job-vUr5zZMML.html</t>
    </r>
  </si>
  <si>
    <t xml:space="preserve">北京、珠海、福州、厦门、港澳及海外</t>
  </si>
  <si>
    <t xml:space="preserve">中国土木工程集团有限公司</t>
  </si>
  <si>
    <t xml:space="preserve">土木工程、铁道工程、桥梁与隧道工程、岩土工程、工程造价等</t>
  </si>
  <si>
    <r>
      <rPr>
        <sz val="10"/>
        <rFont val="Arial"/>
        <family val="0"/>
        <charset val="1"/>
      </rPr>
      <t xml:space="preserve">ccecc.zhaopin.com“</t>
    </r>
    <r>
      <rPr>
        <sz val="10"/>
        <rFont val="WenQuanYi Zen Hei"/>
        <family val="2"/>
      </rPr>
      <t xml:space="preserve">校园招聘”；各子公司宣讲会公布专属邮箱</t>
    </r>
  </si>
  <si>
    <r>
      <rPr>
        <sz val="10"/>
        <rFont val="Arial"/>
        <family val="0"/>
        <charset val="1"/>
      </rPr>
      <t xml:space="preserve">2026-10 </t>
    </r>
    <r>
      <rPr>
        <sz val="10"/>
        <rFont val="WenQuanYi Zen Hei"/>
        <family val="2"/>
      </rPr>
      <t xml:space="preserve">已开启，截止待核</t>
    </r>
  </si>
  <si>
    <r>
      <rPr>
        <sz val="10"/>
        <rFont val="WenQuanYi Zen Hei"/>
        <family val="2"/>
      </rPr>
      <t xml:space="preserve">海外工程为主，有福州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珠海岗位</t>
    </r>
  </si>
  <si>
    <r>
      <rPr>
        <sz val="10"/>
        <rFont val="WenQuanYi Zen Hei"/>
        <family val="2"/>
      </rPr>
      <t xml:space="preserve">国企招聘网 </t>
    </r>
    <r>
      <rPr>
        <sz val="10"/>
        <rFont val="Arial"/>
        <family val="0"/>
        <charset val="1"/>
      </rPr>
      <t xml:space="preserve">m.gwy.com/gqzp/414553.html</t>
    </r>
  </si>
  <si>
    <t xml:space="preserve">全国多地</t>
  </si>
  <si>
    <r>
      <rPr>
        <sz val="10"/>
        <rFont val="WenQuanYi Zen Hei"/>
        <family val="2"/>
      </rPr>
      <t xml:space="preserve">中国能源建设集团（集团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届全球校招）</t>
    </r>
  </si>
  <si>
    <t xml:space="preserve">工程技术、设计等</t>
  </si>
  <si>
    <r>
      <rPr>
        <sz val="10"/>
        <rFont val="WenQuanYi Zen Hei"/>
        <family val="2"/>
      </rPr>
      <t xml:space="preserve">中国能建招聘平台 </t>
    </r>
    <r>
      <rPr>
        <sz val="10"/>
        <rFont val="Arial"/>
        <family val="0"/>
        <charset val="1"/>
      </rPr>
      <t xml:space="preserve">ceec.iguopin.com</t>
    </r>
    <r>
      <rPr>
        <sz val="10"/>
        <rFont val="WenQuanYi Zen Hei"/>
        <family val="2"/>
      </rPr>
      <t xml:space="preserve">（另有转载称 </t>
    </r>
    <r>
      <rPr>
        <sz val="10"/>
        <rFont val="Arial"/>
        <family val="0"/>
        <charset val="1"/>
      </rPr>
      <t xml:space="preserve">zhaopin.ceec.net.cn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</si>
  <si>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2026-08-31 ~ 2026-10-30</t>
    </r>
    <r>
      <rPr>
        <sz val="10"/>
        <rFont val="WenQuanYi Zen Hei"/>
        <family val="2"/>
      </rPr>
      <t xml:space="preserve">（简历投递期至 </t>
    </r>
    <r>
      <rPr>
        <sz val="10"/>
        <rFont val="Arial"/>
        <family val="0"/>
        <charset val="1"/>
      </rPr>
      <t xml:space="preserve">2027-06</t>
    </r>
    <r>
      <rPr>
        <sz val="10"/>
        <rFont val="WenQuanYi Zen Hei"/>
        <family val="2"/>
      </rPr>
      <t xml:space="preserve">）</t>
    </r>
  </si>
  <si>
    <t xml:space="preserve">下属广东院、浙江院、华东院、广东火电等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</si>
  <si>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campus.niuqizp.com/job-vrU5atNMC.html</t>
    </r>
  </si>
  <si>
    <r>
      <rPr>
        <sz val="10"/>
        <rFont val="WenQuanYi Zen Hei"/>
        <family val="2"/>
      </rPr>
      <t xml:space="preserve">中国电力建设集团（中国电建，集团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届校招）</t>
    </r>
  </si>
  <si>
    <t xml:space="preserve">土木、水利、能源、地质、电气等</t>
  </si>
  <si>
    <r>
      <rPr>
        <sz val="10"/>
        <rFont val="WenQuanYi Zen Hei"/>
        <family val="2"/>
      </rPr>
      <t xml:space="preserve">中国电建招聘平台 </t>
    </r>
    <r>
      <rPr>
        <sz val="10"/>
        <rFont val="Arial"/>
        <family val="0"/>
        <charset val="1"/>
      </rPr>
      <t xml:space="preserve">zhaopin.powerchina.cn</t>
    </r>
  </si>
  <si>
    <r>
      <rPr>
        <sz val="10"/>
        <rFont val="Arial"/>
        <family val="0"/>
        <charset val="1"/>
      </rPr>
      <t xml:space="preserve">2026-09-22 </t>
    </r>
    <r>
      <rPr>
        <sz val="10"/>
        <rFont val="WenQuanYi Zen Hei"/>
        <family val="2"/>
      </rPr>
      <t xml:space="preserve">公告，截止待核</t>
    </r>
  </si>
  <si>
    <t xml:space="preserve">下属华东院（杭州）、福建院（福州）等</t>
  </si>
  <si>
    <r>
      <rPr>
        <sz val="10"/>
        <rFont val="WenQuanYi Zen Hei"/>
        <family val="2"/>
      </rPr>
      <t xml:space="preserve">北京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深圳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上海等</t>
    </r>
  </si>
  <si>
    <r>
      <rPr>
        <sz val="10"/>
        <rFont val="WenQuanYi Zen Hei"/>
        <family val="2"/>
      </rPr>
      <t xml:space="preserve">中建一局（</t>
    </r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届校招）</t>
    </r>
  </si>
  <si>
    <r>
      <rPr>
        <sz val="10"/>
        <rFont val="WenQuanYi Zen Hei"/>
        <family val="2"/>
      </rPr>
      <t xml:space="preserve">中建一局网申门户 </t>
    </r>
    <r>
      <rPr>
        <sz val="10"/>
        <rFont val="Arial"/>
        <family val="0"/>
        <charset val="1"/>
      </rPr>
      <t xml:space="preserve">recruit.cscec.com</t>
    </r>
  </si>
  <si>
    <r>
      <rPr>
        <sz val="10"/>
        <rFont val="Arial"/>
        <family val="0"/>
        <charset val="1"/>
      </rPr>
      <t xml:space="preserve">2026-09-06 </t>
    </r>
    <r>
      <rPr>
        <sz val="10"/>
        <rFont val="WenQuanYi Zen Hei"/>
        <family val="2"/>
      </rPr>
      <t xml:space="preserve">发布，截止待核</t>
    </r>
  </si>
  <si>
    <t xml:space="preserve">华南、华东均有分公司</t>
  </si>
  <si>
    <t xml:space="preserve">全国</t>
  </si>
  <si>
    <t xml:space="preserve">中建八局（集团秋季校招）</t>
  </si>
  <si>
    <t xml:space="preserve">全序列</t>
  </si>
  <si>
    <t xml:space="preserve">job.cscec8b.com.cn</t>
  </si>
  <si>
    <t xml:space="preserve">2026-08-28 ~ 2026-09-25</t>
  </si>
  <si>
    <r>
      <rPr>
        <sz val="10"/>
        <rFont val="WenQuanYi Zen Hei"/>
        <family val="2"/>
      </rPr>
      <t xml:space="preserve">集团批次已截止，子公司另有批次（如东北公司至 </t>
    </r>
    <r>
      <rPr>
        <sz val="10"/>
        <rFont val="Arial"/>
        <family val="0"/>
        <charset val="1"/>
      </rPr>
      <t xml:space="preserve">10-30</t>
    </r>
    <r>
      <rPr>
        <sz val="10"/>
        <rFont val="WenQuanYi Zen Hei"/>
        <family val="2"/>
      </rPr>
      <t xml:space="preserve">）</t>
    </r>
  </si>
  <si>
    <t xml:space="preserve">北京（全国项目）</t>
  </si>
  <si>
    <t xml:space="preserve">中铁北京工程局集团</t>
  </si>
  <si>
    <t xml:space="preserve">工程技术、法务、综合管理等</t>
  </si>
  <si>
    <r>
      <rPr>
        <sz val="10"/>
        <rFont val="WenQuanYi Zen Hei"/>
        <family val="2"/>
      </rPr>
      <t xml:space="preserve">中国中铁官网 </t>
    </r>
    <r>
      <rPr>
        <sz val="10"/>
        <rFont val="Arial"/>
        <family val="0"/>
        <charset val="1"/>
      </rPr>
      <t xml:space="preserve">www.crec.cn“</t>
    </r>
    <r>
      <rPr>
        <sz val="10"/>
        <rFont val="WenQuanYi Zen Hei"/>
        <family val="2"/>
      </rPr>
      <t xml:space="preserve">人才招聘”</t>
    </r>
  </si>
  <si>
    <t xml:space="preserve">总部非沿海，项目遍布全国</t>
  </si>
  <si>
    <t xml:space="preserve">中国建材集团（含中建材钢构等）</t>
  </si>
  <si>
    <r>
      <rPr>
        <sz val="10"/>
        <rFont val="Arial"/>
        <family val="0"/>
        <charset val="1"/>
      </rPr>
      <t xml:space="preserve">2027</t>
    </r>
    <r>
      <rPr>
        <sz val="10"/>
        <rFont val="WenQuanYi Zen Hei"/>
        <family val="2"/>
      </rPr>
      <t xml:space="preserve">届校招（岗位以国聘发布为准）</t>
    </r>
  </si>
  <si>
    <r>
      <rPr>
        <sz val="10"/>
        <rFont val="WenQuanYi Zen Hei"/>
        <family val="2"/>
      </rPr>
      <t xml:space="preserve">国聘 </t>
    </r>
    <r>
      <rPr>
        <sz val="10"/>
        <rFont val="Arial"/>
        <family val="0"/>
        <charset val="1"/>
      </rPr>
      <t xml:space="preserve">www.iguopin.com / </t>
    </r>
    <r>
      <rPr>
        <sz val="10"/>
        <rFont val="WenQuanYi Zen Hei"/>
        <family val="2"/>
      </rPr>
      <t xml:space="preserve">公众号“国聘”</t>
    </r>
  </si>
  <si>
    <r>
      <rPr>
        <sz val="10"/>
        <rFont val="Arial"/>
        <family val="0"/>
        <charset val="1"/>
      </rPr>
      <t xml:space="preserve">2026-10-10 </t>
    </r>
    <r>
      <rPr>
        <sz val="10"/>
        <rFont val="WenQuanYi Zen Hei"/>
        <family val="2"/>
      </rPr>
      <t xml:space="preserve">发布，截止待核</t>
    </r>
  </si>
  <si>
    <t xml:space="preserve">旗下中建材钢构往年招深化设计师，可重点看</t>
  </si>
  <si>
    <r>
      <rPr>
        <sz val="10"/>
        <rFont val="WenQuanYi Zen Hei"/>
        <family val="2"/>
      </rPr>
      <t xml:space="preserve">牛企直聘 </t>
    </r>
    <r>
      <rPr>
        <sz val="10"/>
        <rFont val="Arial"/>
        <family val="0"/>
        <charset val="1"/>
      </rPr>
      <t xml:space="preserve">campus.niuqizp.com/job-vr8N55M5M.html</t>
    </r>
  </si>
  <si>
    <t xml:space="preserve">中建玖合发展集团（中建二局）</t>
  </si>
  <si>
    <r>
      <rPr>
        <sz val="10"/>
        <rFont val="WenQuanYi Zen Hei"/>
        <family val="2"/>
      </rPr>
      <t xml:space="preserve">中国建筑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中建二局</t>
    </r>
  </si>
  <si>
    <t xml:space="preserve">2026-09-09 ~ 2026-11-09</t>
  </si>
  <si>
    <r>
      <rPr>
        <b val="true"/>
        <sz val="14"/>
        <color rgb="FF1F4E78"/>
        <rFont val="WenQuanYi Zen Hei"/>
        <family val="2"/>
      </rPr>
      <t xml:space="preserve">重点关注名单：</t>
    </r>
    <r>
      <rPr>
        <b val="true"/>
        <sz val="14"/>
        <color rgb="FF1F4E78"/>
        <rFont val="Arial"/>
        <family val="0"/>
        <charset val="1"/>
      </rPr>
      <t xml:space="preserve">2027</t>
    </r>
    <r>
      <rPr>
        <b val="true"/>
        <sz val="14"/>
        <color rgb="FF1F4E78"/>
        <rFont val="WenQuanYi Zen Hei"/>
        <family val="2"/>
      </rPr>
      <t xml:space="preserve">届公告暂未检索到（或仅有往年</t>
    </r>
    <r>
      <rPr>
        <b val="true"/>
        <sz val="14"/>
        <color rgb="FF1F4E78"/>
        <rFont val="Arial"/>
        <family val="0"/>
        <charset val="1"/>
      </rPr>
      <t xml:space="preserve">/</t>
    </r>
    <r>
      <rPr>
        <b val="true"/>
        <sz val="14"/>
        <color rgb="FF1F4E78"/>
        <rFont val="WenQuanYi Zen Hei"/>
        <family val="2"/>
      </rPr>
      <t xml:space="preserve">实习信息）</t>
    </r>
  </si>
  <si>
    <r>
      <rPr>
        <i val="true"/>
        <sz val="9"/>
        <color rgb="FF595959"/>
        <rFont val="WenQuanYi Zen Hei"/>
        <family val="2"/>
      </rPr>
      <t xml:space="preserve">这些单位每年都招土木类毕业生，但截至 </t>
    </r>
    <r>
      <rPr>
        <i val="true"/>
        <sz val="9"/>
        <color rgb="FF595959"/>
        <rFont val="Arial"/>
        <family val="0"/>
        <charset val="1"/>
      </rPr>
      <t xml:space="preserve">2026-10-20 </t>
    </r>
    <r>
      <rPr>
        <i val="true"/>
        <sz val="9"/>
        <color rgb="FF595959"/>
        <rFont val="WenQuanYi Zen Hei"/>
        <family val="2"/>
      </rPr>
      <t xml:space="preserve">未在可检索渠道看到 </t>
    </r>
    <r>
      <rPr>
        <i val="true"/>
        <sz val="9"/>
        <color rgb="FF595959"/>
        <rFont val="Arial"/>
        <family val="0"/>
        <charset val="1"/>
      </rPr>
      <t xml:space="preserve">2027</t>
    </r>
    <r>
      <rPr>
        <i val="true"/>
        <sz val="9"/>
        <color rgb="FF595959"/>
        <rFont val="WenQuanYi Zen Hei"/>
        <family val="2"/>
      </rPr>
      <t xml:space="preserve">届秋招公告。请关注其官网、公众号及学校双选会；往年时间仅供参考，不代表今年安排。</t>
    </r>
  </si>
  <si>
    <t xml:space="preserve">城市</t>
  </si>
  <si>
    <t xml:space="preserve">主要招聘方向</t>
  </si>
  <si>
    <t xml:space="preserve">官方渠道</t>
  </si>
  <si>
    <r>
      <rPr>
        <b val="true"/>
        <sz val="10"/>
        <color rgb="FFFFFFFF"/>
        <rFont val="WenQuanYi Zen Hei"/>
        <family val="2"/>
      </rPr>
      <t xml:space="preserve">往年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最近一次招聘时间（参考）</t>
    </r>
  </si>
  <si>
    <t xml:space="preserve">建议</t>
  </si>
  <si>
    <t xml:space="preserve">建发集团（上市）</t>
  </si>
  <si>
    <t xml:space="preserve">国企控股</t>
  </si>
  <si>
    <t xml:space="preserve">福建建工</t>
  </si>
  <si>
    <t xml:space="preserve">福建省交通系统</t>
  </si>
  <si>
    <t xml:space="preserve">中建海峡建设发展有限公司</t>
  </si>
  <si>
    <t xml:space="preserve">工程技术、商务预算、安全机械、建筑设计、基础设施</t>
  </si>
  <si>
    <r>
      <rPr>
        <sz val="10"/>
        <rFont val="WenQuanYi Zen Hei"/>
        <family val="2"/>
      </rPr>
      <t xml:space="preserve">中国建筑网申门户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统一考试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</si>
  <si>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2025-09-17 ~ 11-16</t>
    </r>
  </si>
  <si>
    <t xml:space="preserve">福建本地中建主力，重点盯官方公众号</t>
  </si>
  <si>
    <r>
      <rPr>
        <sz val="10"/>
        <rFont val="WenQuanYi Zen Hei"/>
        <family val="2"/>
      </rPr>
      <t xml:space="preserve">福州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厦门</t>
    </r>
  </si>
  <si>
    <t xml:space="preserve">中建七局（福建区域）</t>
  </si>
  <si>
    <r>
      <rPr>
        <sz val="10"/>
        <rFont val="WenQuanYi Zen Hei"/>
        <family val="2"/>
      </rPr>
      <t xml:space="preserve">中国建筑统一门户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统一考试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</si>
  <si>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2025-10-01 </t>
    </r>
    <r>
      <rPr>
        <sz val="10"/>
        <rFont val="WenQuanYi Zen Hei"/>
        <family val="2"/>
      </rPr>
      <t xml:space="preserve">起长期招聘</t>
    </r>
  </si>
  <si>
    <t xml:space="preserve">福州、厦门有岗位</t>
  </si>
  <si>
    <t xml:space="preserve">福建建工集团（含福建一建、二建、五建等）</t>
  </si>
  <si>
    <t xml:space="preserve">施工技术；旗下有福建省建筑设计研究院</t>
  </si>
  <si>
    <r>
      <rPr>
        <sz val="10"/>
        <rFont val="WenQuanYi Zen Hei"/>
        <family val="2"/>
      </rPr>
      <t xml:space="preserve">官网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高校双选会</t>
    </r>
  </si>
  <si>
    <t xml:space="preserve">曾参加华侨大学双选会，留意学校招聘会</t>
  </si>
  <si>
    <t xml:space="preserve">福建省交通运输集团（含福建路桥建设）</t>
  </si>
  <si>
    <t xml:space="preserve">路桥施工</t>
  </si>
  <si>
    <t xml:space="preserve">福建桥梁施工主力</t>
  </si>
  <si>
    <t xml:space="preserve">福建省高速公路集团</t>
  </si>
  <si>
    <t xml:space="preserve">路桥运营养护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</si>
  <si>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年夏季应届生招聘</t>
    </r>
    <r>
      <rPr>
        <sz val="10"/>
        <rFont val="Arial"/>
        <family val="0"/>
        <charset val="1"/>
      </rPr>
      <t xml:space="preserve">62</t>
    </r>
    <r>
      <rPr>
        <sz val="10"/>
        <rFont val="WenQuanYi Zen Hei"/>
        <family val="2"/>
      </rPr>
      <t xml:space="preserve">人（</t>
    </r>
    <r>
      <rPr>
        <sz val="10"/>
        <rFont val="Arial"/>
        <family val="0"/>
        <charset val="1"/>
      </rPr>
      <t xml:space="preserve">2026-08-04 ~ 08-08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</si>
  <si>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常按批次公开招聘，留意春季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夏季批次</t>
    </r>
  </si>
  <si>
    <t xml:space="preserve">厦门轨道建设发展集团（厦门地铁）</t>
  </si>
  <si>
    <r>
      <rPr>
        <sz val="10"/>
        <rFont val="WenQuanYi Zen Hei"/>
        <family val="2"/>
      </rPr>
      <t xml:space="preserve">地铁建设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运营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</si>
  <si>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届春招截止 </t>
    </r>
    <r>
      <rPr>
        <sz val="10"/>
        <rFont val="Arial"/>
        <family val="0"/>
        <charset val="1"/>
      </rPr>
      <t xml:space="preserve">2026-03-15</t>
    </r>
  </si>
  <si>
    <t xml:space="preserve">多在春季招聘</t>
  </si>
  <si>
    <t xml:space="preserve">厦门港务控股集团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</si>
  <si>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2025-09-16 ~ 11-15</t>
    </r>
  </si>
  <si>
    <t xml:space="preserve">厦门市政集团</t>
  </si>
  <si>
    <t xml:space="preserve">市政建设</t>
  </si>
  <si>
    <t xml:space="preserve">中国电建福建省电力勘测设计院</t>
  </si>
  <si>
    <t xml:space="preserve">中国电建</t>
  </si>
  <si>
    <r>
      <rPr>
        <sz val="10"/>
        <rFont val="WenQuanYi Zen Hei"/>
        <family val="2"/>
      </rPr>
      <t xml:space="preserve">电气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土建设计、建筑设计、造价</t>
    </r>
  </si>
  <si>
    <t xml:space="preserve">fedi.zhiye.com</t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</si>
  <si>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届暑期实习：</t>
    </r>
    <r>
      <rPr>
        <sz val="10"/>
        <rFont val="Arial"/>
        <family val="0"/>
        <charset val="1"/>
      </rPr>
      <t xml:space="preserve">2026-04-28 ~ 05-28</t>
    </r>
    <r>
      <rPr>
        <sz val="10"/>
        <rFont val="WenQuanYi Zen Hei"/>
        <family val="2"/>
      </rPr>
      <t xml:space="preserve">（硕士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）</t>
    </r>
  </si>
  <si>
    <t xml:space="preserve">秋招可能随中国电建集团批次发布</t>
  </si>
  <si>
    <t xml:space="preserve">福州地铁集团</t>
  </si>
  <si>
    <t xml:space="preserve">福州市国资委</t>
  </si>
  <si>
    <t xml:space="preserve">地铁建设运营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</si>
  <si>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届专场：</t>
    </r>
    <r>
      <rPr>
        <sz val="10"/>
        <rFont val="Arial"/>
        <family val="0"/>
        <charset val="1"/>
      </rPr>
      <t xml:space="preserve">2026-04-16 ~ 05-14</t>
    </r>
  </si>
  <si>
    <t xml:space="preserve">泉州城建集团</t>
  </si>
  <si>
    <t xml:space="preserve">泉州市国资委</t>
  </si>
  <si>
    <t xml:space="preserve">城市建设</t>
  </si>
  <si>
    <t xml:space="preserve">华侨大学泉州校区所在地，学院曾办泉州国企专场</t>
  </si>
  <si>
    <r>
      <rPr>
        <sz val="10"/>
        <rFont val="WenQuanYi Zen Hei"/>
        <family val="2"/>
      </rPr>
      <t xml:space="preserve">厦门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福州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广州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北京</t>
    </r>
  </si>
  <si>
    <t xml:space="preserve">国机陆原工程设计研究有限公司</t>
  </si>
  <si>
    <t xml:space="preserve">中国机械工业集团</t>
  </si>
  <si>
    <t xml:space="preserve">建筑设计、结构工程等</t>
  </si>
  <si>
    <t xml:space="preserve">公众号“国机陆原”</t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</si>
  <si>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届实习：</t>
    </r>
    <r>
      <rPr>
        <sz val="10"/>
        <rFont val="Arial"/>
        <family val="0"/>
        <charset val="1"/>
      </rPr>
      <t xml:space="preserve">2026-06-18 ~ 07-18</t>
    </r>
  </si>
  <si>
    <t xml:space="preserve">中国一冶福州分公司</t>
  </si>
  <si>
    <t xml:space="preserve">施工员、技术员（含钢结构施工）</t>
  </si>
  <si>
    <t xml:space="preserve">福建人才联合网（福州大学）</t>
  </si>
  <si>
    <t xml:space="preserve">未标届别</t>
  </si>
  <si>
    <t xml:space="preserve">厦门特房集团（特房建工）</t>
  </si>
  <si>
    <r>
      <rPr>
        <sz val="10"/>
        <rFont val="WenQuanYi Zen Hei"/>
        <family val="2"/>
      </rPr>
      <t xml:space="preserve">房建施工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开发</t>
    </r>
  </si>
  <si>
    <t xml:space="preserve">厦门安居集团</t>
  </si>
  <si>
    <t xml:space="preserve">保障房建设</t>
  </si>
  <si>
    <t xml:space="preserve">福州城投集团</t>
  </si>
  <si>
    <t xml:space="preserve">城建投资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</si>
  <si>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届春招补录：</t>
    </r>
    <r>
      <rPr>
        <sz val="10"/>
        <rFont val="Arial"/>
        <family val="0"/>
        <charset val="1"/>
      </rPr>
      <t xml:space="preserve">2026-05</t>
    </r>
  </si>
  <si>
    <t xml:space="preserve">上海勘察设计研究院（集团）厦门分公司</t>
  </si>
  <si>
    <t xml:space="preserve">上海城投</t>
  </si>
  <si>
    <t xml:space="preserve">勘察、测绘、岩土</t>
  </si>
  <si>
    <t xml:space="preserve">往年曾在华侨大学招聘（本科）</t>
  </si>
  <si>
    <t xml:space="preserve">陕建丝路（福建）建设发展有限公司</t>
  </si>
  <si>
    <t xml:space="preserve">陕西建工</t>
  </si>
  <si>
    <t xml:space="preserve">施工技术</t>
  </si>
  <si>
    <t xml:space="preserve">往年曾在华侨大学招聘</t>
  </si>
  <si>
    <t xml:space="preserve">福建六建集团</t>
  </si>
  <si>
    <t xml:space="preserve">施工技术、内业资料</t>
  </si>
  <si>
    <r>
      <rPr>
        <sz val="10"/>
        <rFont val="Arial"/>
        <family val="0"/>
        <charset val="1"/>
      </rPr>
      <t xml:space="preserve">2020</t>
    </r>
    <r>
      <rPr>
        <sz val="10"/>
        <rFont val="WenQuanYi Zen Hei"/>
        <family val="2"/>
      </rPr>
      <t xml:space="preserve">届资料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</si>
  <si>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2025-09-18 ~ 11-17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</si>
  <si>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2025-09-06 ~ 11-05</t>
    </r>
    <r>
      <rPr>
        <sz val="10"/>
        <rFont val="WenQuanYi Zen Hei"/>
        <family val="2"/>
      </rPr>
      <t xml:space="preserve">（硕士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人）</t>
    </r>
  </si>
  <si>
    <t xml:space="preserve">广东省交通集团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</si>
  <si>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2025-10 </t>
    </r>
    <r>
      <rPr>
        <sz val="10"/>
        <rFont val="WenQuanYi Zen Hei"/>
        <family val="2"/>
      </rPr>
      <t xml:space="preserve">发布</t>
    </r>
  </si>
  <si>
    <t xml:space="preserve">广东建工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</si>
  <si>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届：截至 </t>
    </r>
    <r>
      <rPr>
        <sz val="10"/>
        <rFont val="Arial"/>
        <family val="0"/>
        <charset val="1"/>
      </rPr>
      <t xml:space="preserve">2026-07-31</t>
    </r>
  </si>
  <si>
    <t xml:space="preserve">深圳市属</t>
  </si>
  <si>
    <t xml:space="preserve">国企</t>
  </si>
  <si>
    <t xml:space="preserve">华南理工大学</t>
  </si>
  <si>
    <t xml:space="preserve">中交第四航务工程局（总部）</t>
  </si>
  <si>
    <t xml:space="preserve">港航工程技术</t>
  </si>
  <si>
    <t xml:space="preserve">未检索到总部公告</t>
  </si>
  <si>
    <t xml:space="preserve">广州南沙</t>
  </si>
  <si>
    <t xml:space="preserve">中铁隧道局集团</t>
  </si>
  <si>
    <t xml:space="preserve">土木、机械、电气等</t>
  </si>
  <si>
    <t xml:space="preserve">中国中铁招聘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</si>
  <si>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届：截至 </t>
    </r>
    <r>
      <rPr>
        <sz val="10"/>
        <rFont val="Arial"/>
        <family val="0"/>
        <charset val="1"/>
      </rPr>
      <t xml:space="preserve">2025-11-07</t>
    </r>
  </si>
  <si>
    <t xml:space="preserve">珠海横琴</t>
  </si>
  <si>
    <t xml:space="preserve">中国铁建港航局集团</t>
  </si>
  <si>
    <t xml:space="preserve">工程技术、施工管理、港航运管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</si>
  <si>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2025-09-14 ~ 11-13</t>
    </r>
  </si>
  <si>
    <t xml:space="preserve">中建二局华南公司</t>
  </si>
  <si>
    <t xml:space="preserve">工程技术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</si>
  <si>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2025-09-03 ~ 11-02</t>
    </r>
  </si>
  <si>
    <r>
      <rPr>
        <sz val="10"/>
        <rFont val="WenQuanYi Zen Hei"/>
        <family val="2"/>
      </rPr>
      <t xml:space="preserve">深圳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香港</t>
    </r>
  </si>
  <si>
    <t xml:space="preserve">中国建筑国际集团（“海之子”）</t>
  </si>
  <si>
    <t xml:space="preserve">工程、设计</t>
  </si>
  <si>
    <t xml:space="preserve">“海之子”校招官网</t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</si>
  <si>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届暑期实习：</t>
    </r>
    <r>
      <rPr>
        <sz val="10"/>
        <rFont val="Arial"/>
        <family val="0"/>
        <charset val="1"/>
      </rPr>
      <t xml:space="preserve">2026-06-03 ~ 06-20</t>
    </r>
  </si>
  <si>
    <t xml:space="preserve">广东省建筑工程集团（广东建工）</t>
  </si>
  <si>
    <r>
      <rPr>
        <sz val="10"/>
        <rFont val="WenQuanYi Zen Hei"/>
        <family val="2"/>
      </rPr>
      <t xml:space="preserve">工程管理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技术</t>
    </r>
  </si>
  <si>
    <t xml:space="preserve">广东省交通集团（含广东路桥、冠粤路桥）</t>
  </si>
  <si>
    <t xml:space="preserve">路桥施工养护</t>
  </si>
  <si>
    <r>
      <rPr>
        <sz val="10"/>
        <rFont val="WenQuanYi Zen Hei"/>
        <family val="2"/>
      </rPr>
      <t xml:space="preserve">广州市第一市政工程有限公司（广州建筑集团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市政集团）</t>
    </r>
  </si>
  <si>
    <t xml:space="preserve">工程管理岗</t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</si>
  <si>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年简章</t>
    </r>
  </si>
  <si>
    <t xml:space="preserve">深圳地铁集团</t>
  </si>
  <si>
    <t xml:space="preserve">深圳市国资委</t>
  </si>
  <si>
    <r>
      <rPr>
        <sz val="10"/>
        <rFont val="WenQuanYi Zen Hei"/>
        <family val="2"/>
      </rPr>
      <t xml:space="preserve">深圳市建筑科学研究院股份有限公司（</t>
    </r>
    <r>
      <rPr>
        <sz val="10"/>
        <rFont val="Arial"/>
        <family val="0"/>
        <charset val="1"/>
      </rPr>
      <t xml:space="preserve">300675</t>
    </r>
    <r>
      <rPr>
        <sz val="10"/>
        <rFont val="WenQuanYi Zen Hei"/>
        <family val="2"/>
      </rPr>
      <t xml:space="preserve">）</t>
    </r>
  </si>
  <si>
    <t xml:space="preserve">深圳国资（上市）</t>
  </si>
  <si>
    <t xml:space="preserve">绿色建筑、检测</t>
  </si>
  <si>
    <t xml:space="preserve">华阳国际设计集团</t>
  </si>
  <si>
    <r>
      <rPr>
        <sz val="10"/>
        <rFont val="WenQuanYi Zen Hei"/>
        <family val="2"/>
      </rPr>
      <t xml:space="preserve">结构设计（特别薪酬计划：建筑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机电）</t>
    </r>
  </si>
  <si>
    <t xml:space="preserve">民营设计院</t>
  </si>
  <si>
    <t xml:space="preserve">筑博设计</t>
  </si>
  <si>
    <r>
      <rPr>
        <sz val="10"/>
        <rFont val="WenQuanYi Zen Hei"/>
        <family val="2"/>
      </rPr>
      <t xml:space="preserve">悉地国际（</t>
    </r>
    <r>
      <rPr>
        <sz val="10"/>
        <rFont val="Arial"/>
        <family val="0"/>
        <charset val="1"/>
      </rPr>
      <t xml:space="preserve">CCDI</t>
    </r>
    <r>
      <rPr>
        <sz val="10"/>
        <rFont val="WenQuanYi Zen Hei"/>
        <family val="2"/>
      </rPr>
      <t xml:space="preserve">）</t>
    </r>
  </si>
  <si>
    <t xml:space="preserve">广东水电二局（粤水电）</t>
  </si>
  <si>
    <r>
      <rPr>
        <sz val="10"/>
        <rFont val="WenQuanYi Zen Hei"/>
        <family val="2"/>
      </rPr>
      <t xml:space="preserve">水利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市政施工</t>
    </r>
  </si>
  <si>
    <t xml:space="preserve">中交广州航道局</t>
  </si>
  <si>
    <t xml:space="preserve">疏浚、港航</t>
  </si>
  <si>
    <t xml:space="preserve">万科企业</t>
  </si>
  <si>
    <t xml:space="preserve">民营（国资参股）</t>
  </si>
  <si>
    <t xml:space="preserve">工程管理</t>
  </si>
  <si>
    <t xml:space="preserve">越秀地产</t>
  </si>
  <si>
    <t xml:space="preserve">珠海</t>
  </si>
  <si>
    <t xml:space="preserve">华发股份</t>
  </si>
  <si>
    <t xml:space="preserve">珠海市国资委</t>
  </si>
  <si>
    <t xml:space="preserve">隧道股份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</si>
  <si>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2025-09-15 ~ 11-14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</si>
  <si>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届春招：</t>
    </r>
    <r>
      <rPr>
        <sz val="10"/>
        <rFont val="Arial"/>
        <family val="0"/>
        <charset val="1"/>
      </rPr>
      <t xml:space="preserve">2026-04-17 ~ 06-16</t>
    </r>
  </si>
  <si>
    <t xml:space="preserve">中国宝武</t>
  </si>
  <si>
    <t xml:space="preserve">上海城建（隧道股份）</t>
  </si>
  <si>
    <t xml:space="preserve">盾构隧道、市政、桥梁</t>
  </si>
  <si>
    <t xml:space="preserve">中国二十冶集团</t>
  </si>
  <si>
    <t xml:space="preserve">中铁二十四局集团</t>
  </si>
  <si>
    <t xml:space="preserve">工程技术（社招在招）</t>
  </si>
  <si>
    <t xml:space="preserve">中铁上海工程局集团</t>
  </si>
  <si>
    <t xml:space="preserve">上海申通地铁集团</t>
  </si>
  <si>
    <t xml:space="preserve">运营维护</t>
  </si>
  <si>
    <t xml:space="preserve">公众号“上海地铁招聘”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</si>
  <si>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</t>
    </r>
  </si>
  <si>
    <t xml:space="preserve">上海天华建筑设计</t>
  </si>
  <si>
    <t xml:space="preserve">中交上海航道局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</si>
  <si>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2025-09-20 ~ 11-19</t>
    </r>
  </si>
  <si>
    <t xml:space="preserve">浙江大学</t>
  </si>
  <si>
    <t xml:space="preserve">浙江省属</t>
  </si>
  <si>
    <t xml:space="preserve">精工控股</t>
  </si>
  <si>
    <t xml:space="preserve">民企（上市）</t>
  </si>
  <si>
    <r>
      <rPr>
        <sz val="10"/>
        <rFont val="WenQuanYi Zen Hei"/>
        <family val="2"/>
      </rPr>
      <t xml:space="preserve">精工控股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2025-09-19 ~ 11-18</t>
    </r>
  </si>
  <si>
    <r>
      <rPr>
        <sz val="10"/>
        <rFont val="WenQuanYi Zen Hei"/>
        <family val="2"/>
      </rPr>
      <t xml:space="preserve">民营上市（</t>
    </r>
    <r>
      <rPr>
        <sz val="10"/>
        <rFont val="Arial"/>
        <family val="0"/>
        <charset val="1"/>
      </rPr>
      <t xml:space="preserve">600477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</si>
  <si>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民营上市（</t>
    </r>
    <r>
      <rPr>
        <sz val="10"/>
        <rFont val="Arial"/>
        <family val="0"/>
        <charset val="1"/>
      </rPr>
      <t xml:space="preserve">002135</t>
    </r>
    <r>
      <rPr>
        <sz val="10"/>
        <rFont val="WenQuanYi Zen Hei"/>
        <family val="2"/>
      </rPr>
      <t xml:space="preserve">）</t>
    </r>
  </si>
  <si>
    <t xml:space="preserve">浙江交工集团</t>
  </si>
  <si>
    <t xml:space="preserve">路桥施工技术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</si>
  <si>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2025-09-04 ~ 11-03</t>
    </r>
  </si>
  <si>
    <t xml:space="preserve">随浙江交投集团批次</t>
  </si>
  <si>
    <t xml:space="preserve">浙江省建设投资集团（浙江建投）</t>
  </si>
  <si>
    <t xml:space="preserve">施工技术、钢结构</t>
  </si>
  <si>
    <t xml:space="preserve">中天建设集团（中天控股）</t>
  </si>
  <si>
    <t xml:space="preserve">施工技术、项目管理</t>
  </si>
  <si>
    <t xml:space="preserve">杭州地铁集团</t>
  </si>
  <si>
    <t xml:space="preserve">杭州市国资委</t>
  </si>
  <si>
    <r>
      <rPr>
        <sz val="10"/>
        <rFont val="WenQuanYi Zen Hei"/>
        <family val="2"/>
      </rPr>
      <t xml:space="preserve">运营维修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建设</t>
    </r>
  </si>
  <si>
    <t xml:space="preserve">www.hzmetrojob.com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</si>
  <si>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届春招：</t>
    </r>
    <r>
      <rPr>
        <sz val="10"/>
        <rFont val="Arial"/>
        <family val="0"/>
        <charset val="1"/>
      </rPr>
      <t xml:space="preserve">2026-03-20 ~ 04-10</t>
    </r>
  </si>
  <si>
    <t xml:space="preserve">宁波轨道交通集团</t>
  </si>
  <si>
    <t xml:space="preserve">宁波市国资委</t>
  </si>
  <si>
    <t xml:space="preserve">杭州城投集团</t>
  </si>
  <si>
    <t xml:space="preserve">城建</t>
  </si>
  <si>
    <t xml:space="preserve">绿城中国</t>
  </si>
  <si>
    <t xml:space="preserve">中国交建控股</t>
  </si>
  <si>
    <r>
      <rPr>
        <sz val="10"/>
        <rFont val="WenQuanYi Zen Hei"/>
        <family val="2"/>
      </rPr>
      <t xml:space="preserve">工程管理（</t>
    </r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届暑期实习可直通</t>
    </r>
    <r>
      <rPr>
        <sz val="10"/>
        <rFont val="Arial"/>
        <family val="0"/>
        <charset val="1"/>
      </rPr>
      <t xml:space="preserve">offer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</si>
  <si>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2025-09-05 ~ 12-31</t>
    </r>
  </si>
  <si>
    <t xml:space="preserve">滨江集团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</si>
  <si>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2025-11-17 ~ 2026-01-16</t>
    </r>
    <r>
      <rPr>
        <sz val="10"/>
        <rFont val="WenQuanYi Zen Hei"/>
        <family val="2"/>
      </rPr>
      <t xml:space="preserve">（开得较晚）</t>
    </r>
  </si>
  <si>
    <t xml:space="preserve">上市公司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</si>
  <si>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2025-09-04 ~ 11-03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 </t>
    </r>
    <r>
      <rPr>
        <sz val="10"/>
        <rFont val="Arial"/>
        <family val="0"/>
        <charset val="1"/>
      </rPr>
      <t xml:space="preserve">2026-03</t>
    </r>
  </si>
  <si>
    <t xml:space="preserve">—</t>
  </si>
  <si>
    <r>
      <rPr>
        <sz val="10"/>
        <rFont val="WenQuanYi Zen Hei"/>
        <family val="2"/>
      </rPr>
      <t xml:space="preserve">国企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混改</t>
    </r>
  </si>
  <si>
    <t xml:space="preserve">东南大学</t>
  </si>
  <si>
    <t xml:space="preserve">南京地铁集团</t>
  </si>
  <si>
    <t xml:space="preserve">南京市国资委</t>
  </si>
  <si>
    <t xml:space="preserve">南京地铁招聘系统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</si>
  <si>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届春招：</t>
    </r>
    <r>
      <rPr>
        <sz val="10"/>
        <rFont val="Arial"/>
        <family val="0"/>
        <charset val="1"/>
      </rPr>
      <t xml:space="preserve">2026-04-25 ~ 05-23</t>
    </r>
  </si>
  <si>
    <t xml:space="preserve">苏州轨道交通集团</t>
  </si>
  <si>
    <t xml:space="preserve">苏州市国资委</t>
  </si>
  <si>
    <t xml:space="preserve">建设运营</t>
  </si>
  <si>
    <t xml:space="preserve">中建八局第三建设有限公司</t>
  </si>
  <si>
    <t xml:space="preserve">中建八局</t>
  </si>
  <si>
    <t xml:space="preserve">中核华兴建设（中核五公司）</t>
  </si>
  <si>
    <t xml:space="preserve">中核集团</t>
  </si>
  <si>
    <r>
      <rPr>
        <sz val="10"/>
        <rFont val="WenQuanYi Zen Hei"/>
        <family val="2"/>
      </rPr>
      <t xml:space="preserve">核电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工业与民用建筑施工</t>
    </r>
  </si>
  <si>
    <t xml:space="preserve">中核人才招聘网；公众号“中核华兴建设”</t>
  </si>
  <si>
    <t xml:space="preserve">中衡设计集团</t>
  </si>
  <si>
    <r>
      <rPr>
        <sz val="10"/>
        <rFont val="Arial"/>
        <family val="0"/>
        <charset val="1"/>
      </rPr>
      <t xml:space="preserve">2022</t>
    </r>
    <r>
      <rPr>
        <sz val="10"/>
        <rFont val="WenQuanYi Zen Hei"/>
        <family val="2"/>
      </rPr>
      <t xml:space="preserve">届简章</t>
    </r>
  </si>
  <si>
    <t xml:space="preserve">启迪设计集团</t>
  </si>
  <si>
    <t xml:space="preserve">南通三建集团</t>
  </si>
  <si>
    <t xml:space="preserve">南通二建集团</t>
  </si>
  <si>
    <t xml:space="preserve">江阴</t>
  </si>
  <si>
    <t xml:space="preserve">龙信建设集团</t>
  </si>
  <si>
    <t xml:space="preserve">江苏省建筑工程集团</t>
  </si>
  <si>
    <t xml:space="preserve">山东高速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</si>
  <si>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 ~ 11</t>
    </r>
  </si>
  <si>
    <t xml:space="preserve">央企科研院所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</si>
  <si>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届秋招已招</t>
    </r>
  </si>
  <si>
    <t xml:space="preserve">中国钢研</t>
  </si>
  <si>
    <t xml:space="preserve">山东高速集团</t>
  </si>
  <si>
    <t xml:space="preserve">山东省国资委</t>
  </si>
  <si>
    <r>
      <rPr>
        <sz val="10"/>
        <rFont val="WenQuanYi Zen Hei"/>
        <family val="2"/>
      </rPr>
      <t xml:space="preserve">路桥、设计、检测等（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</t>
    </r>
    <r>
      <rPr>
        <sz val="10"/>
        <rFont val="Arial"/>
        <family val="0"/>
        <charset val="1"/>
      </rPr>
      <t xml:space="preserve">314</t>
    </r>
    <r>
      <rPr>
        <sz val="10"/>
        <rFont val="WenQuanYi Zen Hei"/>
        <family val="2"/>
      </rPr>
      <t xml:space="preserve">人）</t>
    </r>
  </si>
  <si>
    <t xml:space="preserve">集团官网招聘系统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</si>
  <si>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届：报名截止 </t>
    </r>
    <r>
      <rPr>
        <sz val="10"/>
        <rFont val="Arial"/>
        <family val="0"/>
        <charset val="1"/>
      </rPr>
      <t xml:space="preserve">2026-05-27</t>
    </r>
    <r>
      <rPr>
        <sz val="10"/>
        <rFont val="WenQuanYi Zen Hei"/>
        <family val="2"/>
      </rPr>
      <t xml:space="preserve">（山东省属国企常集中春季统招）</t>
    </r>
  </si>
  <si>
    <t xml:space="preserve">留意春季统招</t>
  </si>
  <si>
    <t xml:space="preserve">山东高速路桥集团（山东路桥）</t>
  </si>
  <si>
    <t xml:space="preserve">桥梁施工</t>
  </si>
  <si>
    <t xml:space="preserve">中铁十四局集团</t>
  </si>
  <si>
    <r>
      <rPr>
        <sz val="10"/>
        <rFont val="WenQuanYi Zen Hei"/>
        <family val="2"/>
      </rPr>
      <t xml:space="preserve">盾构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桥隧施工</t>
    </r>
  </si>
  <si>
    <t xml:space="preserve">青岛地铁集团</t>
  </si>
  <si>
    <t xml:space="preserve">青岛市国资委</t>
  </si>
  <si>
    <t xml:space="preserve">水发设计集团</t>
  </si>
  <si>
    <t xml:space="preserve">山东水发</t>
  </si>
  <si>
    <t xml:space="preserve">水利、市政、交通、建筑设计</t>
  </si>
  <si>
    <r>
      <rPr>
        <sz val="10"/>
        <rFont val="WenQuanYi Zen Hei"/>
        <family val="2"/>
      </rPr>
      <t xml:space="preserve">青岛城投集团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青岛国信集团</t>
    </r>
  </si>
  <si>
    <t xml:space="preserve">天津市国资委</t>
  </si>
  <si>
    <t xml:space="preserve">交通运输部</t>
  </si>
  <si>
    <t xml:space="preserve">事业单位</t>
  </si>
  <si>
    <r>
      <rPr>
        <sz val="10"/>
        <rFont val="WenQuanYi Zen Hei"/>
        <family val="2"/>
      </rPr>
      <t xml:space="preserve">按批次招聘（</t>
    </r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年第七、八批已过）</t>
    </r>
  </si>
  <si>
    <t xml:space="preserve">国铁集团</t>
  </si>
  <si>
    <t xml:space="preserve">未检索</t>
  </si>
  <si>
    <t xml:space="preserve">天津城建集团</t>
  </si>
  <si>
    <t xml:space="preserve">土木工程、工程造价、智慧建造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</si>
  <si>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2025-09-02 ~ 11-01</t>
    </r>
  </si>
  <si>
    <t xml:space="preserve">中铁十八局集团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</si>
  <si>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届：</t>
    </r>
    <r>
      <rPr>
        <sz val="10"/>
        <rFont val="Arial"/>
        <family val="0"/>
        <charset val="1"/>
      </rPr>
      <t xml:space="preserve">2025-09-09 ~ 11-08</t>
    </r>
  </si>
  <si>
    <t xml:space="preserve">中建六局</t>
  </si>
  <si>
    <t xml:space="preserve">工程技术、桥梁</t>
  </si>
  <si>
    <t xml:space="preserve">中冶天工集团</t>
  </si>
  <si>
    <t xml:space="preserve">工程技术、钢结构</t>
  </si>
  <si>
    <t xml:space="preserve">中交天津航道局</t>
  </si>
  <si>
    <t xml:space="preserve">唐山</t>
  </si>
  <si>
    <t xml:space="preserve">中国二十二冶集团</t>
  </si>
  <si>
    <t xml:space="preserve">石家庄</t>
  </si>
  <si>
    <t xml:space="preserve">河北建工集团</t>
  </si>
  <si>
    <t xml:space="preserve">施工</t>
  </si>
  <si>
    <t xml:space="preserve">中铁九局集团</t>
  </si>
  <si>
    <t xml:space="preserve">辽宁省交通投资集团</t>
  </si>
  <si>
    <t xml:space="preserve">辽宁省国资委</t>
  </si>
  <si>
    <t xml:space="preserve">路桥</t>
  </si>
  <si>
    <t xml:space="preserve">大连地铁集团</t>
  </si>
  <si>
    <t xml:space="preserve">大连市国资委</t>
  </si>
  <si>
    <t xml:space="preserve">地铁</t>
  </si>
  <si>
    <t xml:space="preserve">广西交投</t>
  </si>
  <si>
    <t xml:space="preserve">广西交通投资集团</t>
  </si>
  <si>
    <t xml:space="preserve">广西国资委</t>
  </si>
  <si>
    <t xml:space="preserve">路桥投资建设</t>
  </si>
  <si>
    <t xml:space="preserve">广西路桥工程集团</t>
  </si>
  <si>
    <t xml:space="preserve">广西交科集团</t>
  </si>
  <si>
    <t xml:space="preserve">交通科研、检测</t>
  </si>
  <si>
    <t xml:space="preserve">广西建工集团</t>
  </si>
  <si>
    <t xml:space="preserve">施工、钢结构</t>
  </si>
  <si>
    <t xml:space="preserve">华蓝设计集团</t>
  </si>
  <si>
    <r>
      <rPr>
        <sz val="10"/>
        <rFont val="WenQuanYi Zen Hei"/>
        <family val="2"/>
      </rPr>
      <t xml:space="preserve">建筑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结构设计</t>
    </r>
  </si>
  <si>
    <t xml:space="preserve">广西北部湾投资集团</t>
  </si>
  <si>
    <t xml:space="preserve">基建投资</t>
  </si>
  <si>
    <r>
      <rPr>
        <sz val="10"/>
        <rFont val="Arial"/>
        <family val="0"/>
        <charset val="1"/>
      </rPr>
      <t xml:space="preserve">2018</t>
    </r>
    <r>
      <rPr>
        <sz val="10"/>
        <rFont val="WenQuanYi Zen Hei"/>
        <family val="2"/>
      </rPr>
      <t xml:space="preserve">届</t>
    </r>
  </si>
  <si>
    <t xml:space="preserve">海口</t>
  </si>
  <si>
    <t xml:space="preserve">海南省建筑设计院</t>
  </si>
  <si>
    <t xml:space="preserve">海南省交通投资控股</t>
  </si>
  <si>
    <t xml:space="preserve">海南国资委</t>
  </si>
  <si>
    <t xml:space="preserve">交通基建</t>
  </si>
  <si>
    <t xml:space="preserve">海南海控城市综合运营集团</t>
  </si>
  <si>
    <t xml:space="preserve">城市运营</t>
  </si>
  <si>
    <t xml:space="preserve">海南人才集团</t>
  </si>
  <si>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届春招：</t>
    </r>
    <r>
      <rPr>
        <sz val="10"/>
        <rFont val="Arial"/>
        <family val="0"/>
        <charset val="1"/>
      </rPr>
      <t xml:space="preserve">2026-04-22 ~ 06-22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</si>
  <si>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届实习：</t>
    </r>
    <r>
      <rPr>
        <sz val="10"/>
        <rFont val="Arial"/>
        <family val="0"/>
        <charset val="1"/>
      </rPr>
      <t xml:space="preserve">2026-07-08 ~ 08-08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26</t>
    </r>
    <r>
      <rPr>
        <sz val="10"/>
        <rFont val="WenQuanYi Zen Hei"/>
        <family val="2"/>
      </rPr>
      <t xml:space="preserve">届校招含上海</t>
    </r>
  </si>
  <si>
    <t xml:space="preserve">主要官方网申入口与信息渠道</t>
  </si>
  <si>
    <t xml:space="preserve">网址来自检索结果中的公告转载，个别为往届入口，打不开时请从企业官网“人才招聘”进入。</t>
  </si>
  <si>
    <r>
      <rPr>
        <b val="true"/>
        <sz val="10"/>
        <color rgb="FFFFFFFF"/>
        <rFont val="WenQuanYi Zen Hei"/>
        <family val="2"/>
      </rPr>
      <t xml:space="preserve">平台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集团</t>
    </r>
  </si>
  <si>
    <r>
      <rPr>
        <b val="true"/>
        <sz val="10"/>
        <color rgb="FFFFFFFF"/>
        <rFont val="WenQuanYi Zen Hei"/>
        <family val="2"/>
      </rPr>
      <t xml:space="preserve">网址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入口</t>
    </r>
  </si>
  <si>
    <r>
      <rPr>
        <sz val="10"/>
        <rFont val="WenQuanYi Zen Hei"/>
        <family val="2"/>
      </rPr>
      <t xml:space="preserve">中国建筑（中建各工程局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专业公司）</t>
    </r>
  </si>
  <si>
    <r>
      <rPr>
        <sz val="10"/>
        <rFont val="WenQuanYi Zen Hei"/>
        <family val="2"/>
      </rPr>
      <t xml:space="preserve">各单位网申门户，如中建一局 </t>
    </r>
    <r>
      <rPr>
        <sz val="10"/>
        <rFont val="Arial"/>
        <family val="0"/>
        <charset val="1"/>
      </rPr>
      <t xml:space="preserve">recruit.cscec.com</t>
    </r>
    <r>
      <rPr>
        <sz val="10"/>
        <rFont val="WenQuanYi Zen Hei"/>
        <family val="2"/>
      </rPr>
      <t xml:space="preserve">、中建科工 </t>
    </r>
    <r>
      <rPr>
        <sz val="10"/>
        <rFont val="Arial"/>
        <family val="0"/>
        <charset val="1"/>
      </rPr>
      <t xml:space="preserve">ssr.cscec.com</t>
    </r>
    <r>
      <rPr>
        <sz val="10"/>
        <rFont val="WenQuanYi Zen Hei"/>
        <family val="2"/>
      </rPr>
      <t xml:space="preserve">、中建八局 </t>
    </r>
    <r>
      <rPr>
        <sz val="10"/>
        <rFont val="Arial"/>
        <family val="0"/>
        <charset val="1"/>
      </rPr>
      <t xml:space="preserve">job.cscec8b.com.cn</t>
    </r>
  </si>
  <si>
    <r>
      <rPr>
        <sz val="10"/>
        <rFont val="WenQuanYi Zen Hei"/>
        <family val="2"/>
      </rPr>
      <t xml:space="preserve">多数单位要求先参加“中国建筑高校毕业生接收考试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校园招聘统一考试”，成绩通常各单位通用；建议先报名考试</t>
    </r>
  </si>
  <si>
    <r>
      <rPr>
        <sz val="10"/>
        <rFont val="WenQuanYi Zen Hei"/>
        <family val="2"/>
      </rPr>
      <t xml:space="preserve">中国交建（中交各局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院）</t>
    </r>
  </si>
  <si>
    <r>
      <rPr>
        <sz val="10"/>
        <rFont val="WenQuanYi Zen Hei"/>
        <family val="2"/>
      </rPr>
      <t xml:space="preserve">中国交建人才招聘平台（往届域名 </t>
    </r>
    <r>
      <rPr>
        <sz val="10"/>
        <rFont val="Arial"/>
        <family val="0"/>
        <charset val="1"/>
      </rPr>
      <t xml:space="preserve">ccccltd.zhiye.com</t>
    </r>
    <r>
      <rPr>
        <sz val="10"/>
        <rFont val="WenQuanYi Zen Hei"/>
        <family val="2"/>
      </rPr>
      <t xml:space="preserve">）；公众号“中国交建人才招聘平台”</t>
    </r>
  </si>
  <si>
    <t xml:space="preserve">各子公司分别发布，截止时间差异大</t>
  </si>
  <si>
    <r>
      <rPr>
        <sz val="10"/>
        <rFont val="WenQuanYi Zen Hei"/>
        <family val="2"/>
      </rPr>
      <t xml:space="preserve">中国中铁官网 </t>
    </r>
    <r>
      <rPr>
        <sz val="10"/>
        <rFont val="Arial"/>
        <family val="0"/>
        <charset val="1"/>
      </rPr>
      <t xml:space="preserve">www.crec.cn →“</t>
    </r>
    <r>
      <rPr>
        <sz val="10"/>
        <rFont val="WenQuanYi Zen Hei"/>
        <family val="2"/>
      </rPr>
      <t xml:space="preserve">人才招聘”</t>
    </r>
  </si>
  <si>
    <t xml:space="preserve">按单位名称检索公告</t>
  </si>
  <si>
    <r>
      <rPr>
        <sz val="10"/>
        <rFont val="WenQuanYi Zen Hei"/>
        <family val="2"/>
      </rPr>
      <t xml:space="preserve">中国铁建官网“人才招聘”栏目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各子公司公众号</t>
    </r>
  </si>
  <si>
    <t xml:space="preserve">如中国铁建大桥局：公众号“人才招聘—校园招聘”</t>
  </si>
  <si>
    <t xml:space="preserve">zhaopin.powerchina.cn</t>
  </si>
  <si>
    <r>
      <rPr>
        <sz val="10"/>
        <rFont val="WenQuanYi Zen Hei"/>
        <family val="2"/>
      </rPr>
      <t xml:space="preserve">集团公告 </t>
    </r>
    <r>
      <rPr>
        <sz val="10"/>
        <rFont val="Arial"/>
        <family val="0"/>
        <charset val="1"/>
      </rPr>
      <t xml:space="preserve">2026-09-22</t>
    </r>
  </si>
  <si>
    <r>
      <rPr>
        <sz val="10"/>
        <rFont val="Arial"/>
        <family val="0"/>
        <charset val="1"/>
      </rPr>
      <t xml:space="preserve">ceec.iguopin.com</t>
    </r>
    <r>
      <rPr>
        <sz val="10"/>
        <rFont val="WenQuanYi Zen Hei"/>
        <family val="2"/>
      </rPr>
      <t xml:space="preserve">（另有转载称 </t>
    </r>
    <r>
      <rPr>
        <sz val="10"/>
        <rFont val="Arial"/>
        <family val="0"/>
        <charset val="1"/>
      </rPr>
      <t xml:space="preserve">zhaopin.ceec.net.cn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</si>
  <si>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集团网申 </t>
    </r>
    <r>
      <rPr>
        <sz val="10"/>
        <rFont val="Arial"/>
        <family val="0"/>
        <charset val="1"/>
      </rPr>
      <t xml:space="preserve">2026-08-31 ~ 10-30</t>
    </r>
  </si>
  <si>
    <r>
      <rPr>
        <sz val="10"/>
        <rFont val="WenQuanYi Zen Hei"/>
        <family val="2"/>
      </rPr>
      <t xml:space="preserve">国聘（央企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国企汇总）</t>
    </r>
  </si>
  <si>
    <r>
      <rPr>
        <sz val="10"/>
        <rFont val="Arial"/>
        <family val="0"/>
        <charset val="1"/>
      </rPr>
      <t xml:space="preserve">www.iguopin.com / </t>
    </r>
    <r>
      <rPr>
        <sz val="10"/>
        <rFont val="WenQuanYi Zen Hei"/>
        <family val="2"/>
      </rPr>
      <t xml:space="preserve">公众号“国聘”</t>
    </r>
  </si>
  <si>
    <t xml:space="preserve">可按地区、行业、学历筛选</t>
  </si>
  <si>
    <r>
      <rPr>
        <sz val="10"/>
        <rFont val="WenQuanYi Zen Hei"/>
        <family val="2"/>
      </rPr>
      <t xml:space="preserve">国家大学生就业服务平台（</t>
    </r>
    <r>
      <rPr>
        <sz val="10"/>
        <rFont val="Arial"/>
        <family val="0"/>
        <charset val="1"/>
      </rPr>
      <t xml:space="preserve">24365</t>
    </r>
    <r>
      <rPr>
        <sz val="10"/>
        <rFont val="WenQuanYi Zen Hei"/>
        <family val="2"/>
      </rPr>
      <t xml:space="preserve">）</t>
    </r>
  </si>
  <si>
    <t xml:space="preserve">www.ncss.cn</t>
  </si>
  <si>
    <t xml:space="preserve">教育部官方平台</t>
  </si>
  <si>
    <t xml:space="preserve">交通运输部所属事业单位统一招聘</t>
  </si>
  <si>
    <t xml:space="preserve">rccp.jtzyzg.org.cn</t>
  </si>
  <si>
    <t xml:space="preserve">天科院等部属院所</t>
  </si>
  <si>
    <t xml:space="preserve">华侨大学就业创业指导中心</t>
  </si>
  <si>
    <r>
      <rPr>
        <sz val="10"/>
        <rFont val="Arial"/>
        <family val="0"/>
        <charset val="1"/>
      </rPr>
      <t xml:space="preserve">bys.hqu.edu.cn</t>
    </r>
    <r>
      <rPr>
        <sz val="10"/>
        <rFont val="WenQuanYi Zen Hei"/>
        <family val="2"/>
      </rPr>
      <t xml:space="preserve">；土木学院就业信息 </t>
    </r>
    <r>
      <rPr>
        <sz val="10"/>
        <rFont val="Arial"/>
        <family val="0"/>
        <charset val="1"/>
      </rPr>
      <t xml:space="preserve">civil.hqu.edu.cn/jyxx.htm</t>
    </r>
  </si>
  <si>
    <t xml:space="preserve">留意本校秋季双选会、土建专场</t>
  </si>
  <si>
    <t xml:space="preserve">fjrclh.fzu.edu.cn</t>
  </si>
  <si>
    <t xml:space="preserve">福建本地企业较多</t>
  </si>
  <si>
    <t xml:space="preserve">牛企直聘校招（第三方，本表主要来源）</t>
  </si>
  <si>
    <r>
      <rPr>
        <sz val="10"/>
        <rFont val="Arial"/>
        <family val="0"/>
        <charset val="1"/>
      </rPr>
      <t xml:space="preserve">campus.niuqizp.com</t>
    </r>
    <r>
      <rPr>
        <sz val="10"/>
        <rFont val="WenQuanYi Zen Hei"/>
        <family val="2"/>
      </rPr>
      <t xml:space="preserve">；建筑行业：</t>
    </r>
    <r>
      <rPr>
        <sz val="10"/>
        <rFont val="Arial"/>
        <family val="0"/>
        <charset val="1"/>
      </rPr>
      <t xml:space="preserve">campus.niuqizp.com/schedulenew-constructionmaterialsengineering-all-2/</t>
    </r>
    <r>
      <rPr>
        <sz val="10"/>
        <rFont val="WenQuanYi Zen Hei"/>
        <family val="2"/>
      </rPr>
      <t xml:space="preserve">；福建建筑：</t>
    </r>
    <r>
      <rPr>
        <sz val="10"/>
        <rFont val="Arial"/>
        <family val="0"/>
        <charset val="1"/>
      </rPr>
      <t xml:space="preserve">campus.niuqizp.com/schedulenew-constructionmaterialsengineering-fujian-1/</t>
    </r>
  </si>
  <si>
    <t xml:space="preserve">转载信息，以官方公告为准</t>
  </si>
  <si>
    <t xml:space="preserve">国企招聘网（第三方）</t>
  </si>
  <si>
    <t xml:space="preserve">m.gwy.com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</si>
</sst>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\天;&quot;已过&quot;0\天;&quot;今天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WenQuanYi Zen Hei"/>
      <family val="2"/>
    </font>
    <font>
      <b val="true"/>
      <sz val="14"/>
      <color rgb="FF1F4E78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F4E78"/>
      <name val="WenQuanYi Zen Hei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color rgb="FF80808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color rgb="FF1F4E78"/>
      </font>
      <fill>
        <patternFill>
          <bgColor rgb="FFDDEBF7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55A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9.4" hidden="false" customHeight="false" outlineLevel="0" collapsed="false">
      <c r="A1" s="1" t="s">
        <v>0</v>
      </c>
      <c r="B1" s="1"/>
      <c r="C1" s="1"/>
      <c r="D1" s="1"/>
    </row>
    <row r="3" customFormat="false" ht="15.75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15.75" hidden="false" customHeight="true" outlineLevel="0" collapsed="false">
      <c r="A4" s="2" t="s">
        <v>3</v>
      </c>
      <c r="B4" s="3" t="s">
        <v>4</v>
      </c>
      <c r="C4" s="3"/>
      <c r="D4" s="3"/>
    </row>
    <row r="5" customFormat="false" ht="15.75" hidden="false" customHeight="true" outlineLevel="0" collapsed="false">
      <c r="A5" s="2" t="s">
        <v>5</v>
      </c>
      <c r="B5" s="3" t="s">
        <v>6</v>
      </c>
      <c r="C5" s="3"/>
      <c r="D5" s="3"/>
    </row>
    <row r="6" customFormat="false" ht="15.75" hidden="false" customHeight="true" outlineLevel="0" collapsed="false">
      <c r="A6" s="2" t="s">
        <v>7</v>
      </c>
      <c r="B6" s="3" t="s">
        <v>8</v>
      </c>
      <c r="C6" s="3"/>
      <c r="D6" s="3"/>
    </row>
    <row r="7" customFormat="false" ht="15.75" hidden="false" customHeight="true" outlineLevel="0" collapsed="false">
      <c r="A7" s="2" t="s">
        <v>9</v>
      </c>
      <c r="B7" s="4" t="s">
        <v>10</v>
      </c>
      <c r="C7" s="4"/>
      <c r="D7" s="4"/>
    </row>
    <row r="8" customFormat="false" ht="15.75" hidden="false" customHeight="true" outlineLevel="0" collapsed="false">
      <c r="A8" s="2" t="s">
        <v>11</v>
      </c>
      <c r="B8" s="3" t="s">
        <v>12</v>
      </c>
      <c r="C8" s="3"/>
      <c r="D8" s="3"/>
    </row>
    <row r="10" customFormat="false" ht="15" hidden="false" customHeight="false" outlineLevel="0" collapsed="false">
      <c r="A10" s="5" t="s">
        <v>13</v>
      </c>
      <c r="B10" s="5" t="s">
        <v>14</v>
      </c>
      <c r="C10" s="5"/>
      <c r="D10" s="5" t="s">
        <v>15</v>
      </c>
    </row>
    <row r="11" customFormat="false" ht="15" hidden="false" customHeight="false" outlineLevel="0" collapsed="false">
      <c r="A11" s="6" t="s">
        <v>16</v>
      </c>
      <c r="B11" s="7" t="n">
        <f aca="false">COUNTA(27届已发布!D4:D84)</f>
        <v>81</v>
      </c>
      <c r="C11" s="6"/>
      <c r="D11" s="8" t="s">
        <v>17</v>
      </c>
    </row>
    <row r="12" customFormat="false" ht="15" hidden="false" customHeight="false" outlineLevel="0" collapsed="false">
      <c r="A12" s="6" t="s">
        <v>18</v>
      </c>
      <c r="B12" s="7" t="n">
        <f aca="false">COUNTIF(27届已发布!L4:L84,"进行中")</f>
        <v>16</v>
      </c>
      <c r="C12" s="6"/>
      <c r="D12" s="6" t="s">
        <v>19</v>
      </c>
    </row>
    <row r="13" customFormat="false" ht="15" hidden="false" customHeight="false" outlineLevel="0" collapsed="false">
      <c r="A13" s="6" t="s">
        <v>20</v>
      </c>
      <c r="B13" s="7" t="n">
        <f aca="false">COUNTIF(27届已发布!L4:L84,"7天内截止")</f>
        <v>6</v>
      </c>
      <c r="C13" s="6"/>
      <c r="D13" s="6" t="s">
        <v>21</v>
      </c>
    </row>
    <row r="14" customFormat="false" ht="15" hidden="false" customHeight="false" outlineLevel="0" collapsed="false">
      <c r="A14" s="6" t="s">
        <v>22</v>
      </c>
      <c r="B14" s="7" t="n">
        <f aca="false">COUNTIF(27届已发布!L4:L84,"今日截止")</f>
        <v>2</v>
      </c>
      <c r="C14" s="6"/>
      <c r="D14" s="6"/>
    </row>
    <row r="15" customFormat="false" ht="15" hidden="false" customHeight="false" outlineLevel="0" collapsed="false">
      <c r="A15" s="6" t="s">
        <v>23</v>
      </c>
      <c r="B15" s="7" t="n">
        <f aca="false">SUMPRODUCT(--(LEFT(27届已发布!L4:L84,3)="已启动"))</f>
        <v>37</v>
      </c>
      <c r="C15" s="6"/>
      <c r="D15" s="6" t="s">
        <v>24</v>
      </c>
    </row>
    <row r="16" customFormat="false" ht="15" hidden="false" customHeight="false" outlineLevel="0" collapsed="false">
      <c r="A16" s="6" t="s">
        <v>25</v>
      </c>
      <c r="B16" s="7" t="n">
        <f aca="false">COUNTIF(27届已发布!L4:L84,"已截止")</f>
        <v>19</v>
      </c>
      <c r="C16" s="6"/>
      <c r="D16" s="6" t="s">
        <v>26</v>
      </c>
    </row>
    <row r="17" customFormat="false" ht="15" hidden="false" customHeight="false" outlineLevel="0" collapsed="false">
      <c r="A17" s="6" t="s">
        <v>27</v>
      </c>
      <c r="B17" s="7" t="n">
        <f aca="false">COUNTIF(27届已发布!N4:N84,"★★★")</f>
        <v>17</v>
      </c>
      <c r="C17" s="6"/>
      <c r="D17" s="6"/>
    </row>
    <row r="18" customFormat="false" ht="15" hidden="false" customHeight="false" outlineLevel="0" collapsed="false">
      <c r="A18" s="6" t="s">
        <v>28</v>
      </c>
      <c r="B18" s="7" t="n">
        <f aca="false">COUNTA('待发布-往年参考'!D4:D138)</f>
        <v>135</v>
      </c>
      <c r="C18" s="6"/>
      <c r="D18" s="6" t="s">
        <v>29</v>
      </c>
    </row>
    <row r="19" customFormat="false" ht="15" hidden="false" customHeight="false" outlineLevel="0" collapsed="false">
      <c r="A19" s="6" t="s">
        <v>30</v>
      </c>
      <c r="B19" s="7" t="n">
        <f aca="false">B11+B18</f>
        <v>216</v>
      </c>
      <c r="C19" s="6"/>
      <c r="D19" s="6"/>
    </row>
    <row r="21" customFormat="false" ht="15" hidden="false" customHeight="false" outlineLevel="0" collapsed="false">
      <c r="A21" s="5" t="s">
        <v>31</v>
      </c>
      <c r="B21" s="5" t="s">
        <v>32</v>
      </c>
      <c r="C21" s="5" t="s">
        <v>33</v>
      </c>
      <c r="D21" s="5" t="s">
        <v>34</v>
      </c>
    </row>
    <row r="22" customFormat="false" ht="15" hidden="false" customHeight="false" outlineLevel="0" collapsed="false">
      <c r="A22" s="6" t="s">
        <v>35</v>
      </c>
      <c r="B22" s="7" t="n">
        <f aca="false">COUNTIF(27届已发布!B4:B84,A22)</f>
        <v>10</v>
      </c>
      <c r="C22" s="7" t="n">
        <f aca="false">COUNTIF('待发布-往年参考'!B4:B138,A22)</f>
        <v>27</v>
      </c>
      <c r="D22" s="6" t="s">
        <v>36</v>
      </c>
    </row>
    <row r="23" customFormat="false" ht="15" hidden="false" customHeight="false" outlineLevel="0" collapsed="false">
      <c r="A23" s="6" t="s">
        <v>37</v>
      </c>
      <c r="B23" s="7" t="n">
        <f aca="false">COUNTIF(27届已发布!B4:B84,A23)</f>
        <v>21</v>
      </c>
      <c r="C23" s="7" t="n">
        <f aca="false">COUNTIF('待发布-往年参考'!B4:B138,A23)</f>
        <v>26</v>
      </c>
      <c r="D23" s="6"/>
    </row>
    <row r="24" customFormat="false" ht="15" hidden="false" customHeight="false" outlineLevel="0" collapsed="false">
      <c r="A24" s="6" t="s">
        <v>38</v>
      </c>
      <c r="B24" s="7" t="n">
        <f aca="false">COUNTIF(27届已发布!B4:B84,A24)</f>
        <v>15</v>
      </c>
      <c r="C24" s="7" t="n">
        <f aca="false">COUNTIF('待发布-往年参考'!B4:B138,A24)</f>
        <v>15</v>
      </c>
      <c r="D24" s="6"/>
    </row>
    <row r="25" customFormat="false" ht="15" hidden="false" customHeight="false" outlineLevel="0" collapsed="false">
      <c r="A25" s="6" t="s">
        <v>39</v>
      </c>
      <c r="B25" s="7" t="n">
        <f aca="false">COUNTIF(27届已发布!B4:B84,A25)</f>
        <v>5</v>
      </c>
      <c r="C25" s="7" t="n">
        <f aca="false">COUNTIF('待发布-往年参考'!B4:B138,A25)</f>
        <v>15</v>
      </c>
      <c r="D25" s="6"/>
    </row>
    <row r="26" customFormat="false" ht="15" hidden="false" customHeight="false" outlineLevel="0" collapsed="false">
      <c r="A26" s="6" t="s">
        <v>40</v>
      </c>
      <c r="B26" s="7" t="n">
        <f aca="false">COUNTIF(27届已发布!B4:B84,A26)</f>
        <v>6</v>
      </c>
      <c r="C26" s="7" t="n">
        <f aca="false">COUNTIF('待发布-往年参考'!B4:B138,A26)</f>
        <v>15</v>
      </c>
      <c r="D26" s="6"/>
    </row>
    <row r="27" customFormat="false" ht="15" hidden="false" customHeight="false" outlineLevel="0" collapsed="false">
      <c r="A27" s="6" t="s">
        <v>41</v>
      </c>
      <c r="B27" s="7" t="n">
        <f aca="false">COUNTIF(27届已发布!B4:B84,A27)</f>
        <v>4</v>
      </c>
      <c r="C27" s="7" t="n">
        <f aca="false">COUNTIF('待发布-往年参考'!B4:B138,A27)</f>
        <v>10</v>
      </c>
      <c r="D27" s="6"/>
    </row>
    <row r="28" customFormat="false" ht="15" hidden="false" customHeight="false" outlineLevel="0" collapsed="false">
      <c r="A28" s="6" t="s">
        <v>42</v>
      </c>
      <c r="B28" s="7" t="n">
        <f aca="false">COUNTIF(27届已发布!B4:B84,A28)</f>
        <v>5</v>
      </c>
      <c r="C28" s="7" t="n">
        <f aca="false">COUNTIF('待发布-往年参考'!B4:B138,A28)</f>
        <v>9</v>
      </c>
      <c r="D28" s="6"/>
    </row>
    <row r="29" customFormat="false" ht="15" hidden="false" customHeight="false" outlineLevel="0" collapsed="false">
      <c r="A29" s="6" t="s">
        <v>43</v>
      </c>
      <c r="B29" s="7" t="n">
        <f aca="false">COUNTIF(27届已发布!B4:B84,A29)</f>
        <v>1</v>
      </c>
      <c r="C29" s="7" t="n">
        <f aca="false">COUNTIF('待发布-往年参考'!B4:B138,A29)</f>
        <v>3</v>
      </c>
      <c r="D29" s="6"/>
    </row>
    <row r="30" customFormat="false" ht="15" hidden="false" customHeight="false" outlineLevel="0" collapsed="false">
      <c r="A30" s="6" t="s">
        <v>44</v>
      </c>
      <c r="B30" s="7" t="n">
        <f aca="false">COUNTIF(27届已发布!B4:B84,A30)</f>
        <v>3</v>
      </c>
      <c r="C30" s="7" t="n">
        <f aca="false">COUNTIF('待发布-往年参考'!B4:B138,A30)</f>
        <v>4</v>
      </c>
      <c r="D30" s="6"/>
    </row>
    <row r="31" customFormat="false" ht="15" hidden="false" customHeight="false" outlineLevel="0" collapsed="false">
      <c r="A31" s="6" t="s">
        <v>45</v>
      </c>
      <c r="B31" s="7" t="n">
        <f aca="false">COUNTIF(27届已发布!B4:B84,A31)</f>
        <v>0</v>
      </c>
      <c r="C31" s="7" t="n">
        <f aca="false">COUNTIF('待发布-往年参考'!B4:B138,A31)</f>
        <v>7</v>
      </c>
      <c r="D31" s="6"/>
    </row>
    <row r="32" customFormat="false" ht="15" hidden="false" customHeight="false" outlineLevel="0" collapsed="false">
      <c r="A32" s="6" t="s">
        <v>46</v>
      </c>
      <c r="B32" s="7" t="n">
        <f aca="false">COUNTIF(27届已发布!B4:B84,A32)</f>
        <v>0</v>
      </c>
      <c r="C32" s="7" t="n">
        <f aca="false">COUNTIF('待发布-往年参考'!B4:B138,A32)</f>
        <v>3</v>
      </c>
      <c r="D32" s="6"/>
    </row>
    <row r="33" customFormat="false" ht="15" hidden="false" customHeight="false" outlineLevel="0" collapsed="false">
      <c r="A33" s="6" t="s">
        <v>47</v>
      </c>
      <c r="B33" s="7" t="n">
        <f aca="false">COUNTIF(27届已发布!B4:B84,A33)</f>
        <v>11</v>
      </c>
      <c r="C33" s="7" t="n">
        <f aca="false">COUNTIF('待发布-往年参考'!B4:B138,A33)</f>
        <v>1</v>
      </c>
      <c r="D33" s="6" t="s">
        <v>48</v>
      </c>
    </row>
    <row r="35" customFormat="false" ht="15" hidden="false" customHeight="false" outlineLevel="0" collapsed="false">
      <c r="A35" s="9" t="s">
        <v>49</v>
      </c>
    </row>
    <row r="36" customFormat="false" ht="15" hidden="false" customHeight="true" outlineLevel="0" collapsed="false">
      <c r="A36" s="2" t="s">
        <v>50</v>
      </c>
      <c r="B36" s="3" t="s">
        <v>51</v>
      </c>
      <c r="C36" s="3"/>
      <c r="D36" s="3"/>
    </row>
    <row r="37" customFormat="false" ht="15" hidden="false" customHeight="true" outlineLevel="0" collapsed="false">
      <c r="A37" s="2" t="s">
        <v>52</v>
      </c>
      <c r="B37" s="3" t="s">
        <v>53</v>
      </c>
      <c r="C37" s="3"/>
      <c r="D37" s="3"/>
    </row>
    <row r="38" customFormat="false" ht="15" hidden="false" customHeight="true" outlineLevel="0" collapsed="false">
      <c r="A38" s="2" t="s">
        <v>54</v>
      </c>
      <c r="B38" s="3" t="s">
        <v>55</v>
      </c>
      <c r="C38" s="3"/>
      <c r="D38" s="3"/>
    </row>
    <row r="40" customFormat="false" ht="15" hidden="false" customHeight="false" outlineLevel="0" collapsed="false">
      <c r="A40" s="9" t="s">
        <v>56</v>
      </c>
    </row>
    <row r="41" customFormat="false" ht="30.75" hidden="false" customHeight="true" outlineLevel="0" collapsed="false">
      <c r="A41" s="4" t="s">
        <v>57</v>
      </c>
      <c r="B41" s="4"/>
      <c r="C41" s="4"/>
      <c r="D41" s="4"/>
    </row>
    <row r="42" customFormat="false" ht="17.25" hidden="false" customHeight="true" outlineLevel="0" collapsed="false">
      <c r="A42" s="4" t="s">
        <v>58</v>
      </c>
      <c r="B42" s="4"/>
      <c r="C42" s="4"/>
      <c r="D42" s="4"/>
    </row>
    <row r="43" customFormat="false" ht="30.75" hidden="false" customHeight="true" outlineLevel="0" collapsed="false">
      <c r="A43" s="4" t="s">
        <v>59</v>
      </c>
      <c r="B43" s="4"/>
      <c r="C43" s="4"/>
      <c r="D43" s="4"/>
    </row>
    <row r="44" customFormat="false" ht="30.75" hidden="false" customHeight="true" outlineLevel="0" collapsed="false">
      <c r="A44" s="4" t="s">
        <v>60</v>
      </c>
      <c r="B44" s="4"/>
      <c r="C44" s="4"/>
      <c r="D44" s="4"/>
    </row>
    <row r="45" customFormat="false" ht="30.75" hidden="false" customHeight="true" outlineLevel="0" collapsed="false">
      <c r="A45" s="4" t="s">
        <v>61</v>
      </c>
      <c r="B45" s="4"/>
      <c r="C45" s="4"/>
      <c r="D45" s="4"/>
    </row>
    <row r="46" customFormat="false" ht="30.75" hidden="false" customHeight="true" outlineLevel="0" collapsed="false">
      <c r="A46" s="4" t="s">
        <v>62</v>
      </c>
      <c r="B46" s="4"/>
      <c r="C46" s="4"/>
      <c r="D46" s="4"/>
    </row>
    <row r="47" customFormat="false" ht="17.25" hidden="false" customHeight="true" outlineLevel="0" collapsed="false">
      <c r="A47" s="4" t="s">
        <v>63</v>
      </c>
      <c r="B47" s="4"/>
      <c r="C47" s="4"/>
      <c r="D47" s="4"/>
    </row>
  </sheetData>
  <mergeCells count="17">
    <mergeCell ref="A1:D1"/>
    <mergeCell ref="B3:D3"/>
    <mergeCell ref="B4:D4"/>
    <mergeCell ref="B5:D5"/>
    <mergeCell ref="B6:D6"/>
    <mergeCell ref="B7:D7"/>
    <mergeCell ref="B8:D8"/>
    <mergeCell ref="B36:D36"/>
    <mergeCell ref="B37:D37"/>
    <mergeCell ref="B38:D38"/>
    <mergeCell ref="A41:D41"/>
    <mergeCell ref="A42:D42"/>
    <mergeCell ref="A43:D43"/>
    <mergeCell ref="A44:D44"/>
    <mergeCell ref="A45:D45"/>
    <mergeCell ref="A46:D46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40"/>
    <col collapsed="false" customWidth="true" hidden="false" outlineLevel="0" max="9" min="9" style="0" width="44"/>
  </cols>
  <sheetData>
    <row r="1" customFormat="false" ht="24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10" t="s">
        <v>65</v>
      </c>
      <c r="B2" s="10"/>
      <c r="C2" s="10"/>
      <c r="D2" s="10"/>
      <c r="E2" s="10"/>
      <c r="F2" s="10"/>
      <c r="G2" s="10"/>
      <c r="H2" s="10"/>
      <c r="I2" s="10"/>
    </row>
    <row r="3" customFormat="false" ht="30" hidden="false" customHeight="true" outlineLevel="0" collapsed="false">
      <c r="A3" s="5" t="s">
        <v>66</v>
      </c>
      <c r="B3" s="5" t="s">
        <v>67</v>
      </c>
      <c r="C3" s="5" t="s">
        <v>68</v>
      </c>
      <c r="D3" s="5" t="s">
        <v>69</v>
      </c>
      <c r="E3" s="5" t="s">
        <v>70</v>
      </c>
      <c r="F3" s="5" t="s">
        <v>71</v>
      </c>
      <c r="G3" s="5" t="s">
        <v>72</v>
      </c>
      <c r="H3" s="5" t="s">
        <v>73</v>
      </c>
      <c r="I3" s="5" t="s">
        <v>74</v>
      </c>
    </row>
    <row r="4" customFormat="false" ht="42" hidden="false" customHeight="true" outlineLevel="0" collapsed="false">
      <c r="A4" s="11" t="s">
        <v>75</v>
      </c>
      <c r="B4" s="6" t="s">
        <v>76</v>
      </c>
      <c r="C4" s="6" t="s">
        <v>77</v>
      </c>
      <c r="D4" s="6" t="s">
        <v>78</v>
      </c>
      <c r="E4" s="12" t="n">
        <v>46316</v>
      </c>
      <c r="F4" s="13" t="str">
        <f aca="true">IF(E4&lt;TODAY(),"已截止",IF(E4=TODAY(),"今日截止",IF(E4-TODAY()&lt;=7,"7天内截止","进行中")))</f>
        <v>7天内截止</v>
      </c>
      <c r="G4" s="14" t="n">
        <f aca="true">IF(ISNUMBER(E4),E4-TODAY(),"")</f>
        <v>1</v>
      </c>
      <c r="H4" s="6" t="s">
        <v>79</v>
      </c>
      <c r="I4" s="6" t="s">
        <v>80</v>
      </c>
    </row>
    <row r="5" customFormat="false" ht="28.5" hidden="false" customHeight="true" outlineLevel="0" collapsed="false">
      <c r="A5" s="11" t="s">
        <v>75</v>
      </c>
      <c r="B5" s="6" t="s">
        <v>81</v>
      </c>
      <c r="C5" s="6" t="s">
        <v>82</v>
      </c>
      <c r="D5" s="6" t="s">
        <v>83</v>
      </c>
      <c r="E5" s="12" t="n">
        <v>46318</v>
      </c>
      <c r="F5" s="13" t="str">
        <f aca="true">IF(E5&lt;TODAY(),"已截止",IF(E5=TODAY(),"今日截止",IF(E5-TODAY()&lt;=7,"7天内截止","进行中")))</f>
        <v>7天内截止</v>
      </c>
      <c r="G5" s="14" t="n">
        <f aca="true">IF(ISNUMBER(E5),E5-TODAY(),"")</f>
        <v>3</v>
      </c>
      <c r="H5" s="6" t="s">
        <v>84</v>
      </c>
      <c r="I5" s="6" t="s">
        <v>85</v>
      </c>
    </row>
    <row r="6" customFormat="false" ht="55.5" hidden="false" customHeight="true" outlineLevel="0" collapsed="false">
      <c r="A6" s="11" t="s">
        <v>75</v>
      </c>
      <c r="B6" s="6" t="s">
        <v>86</v>
      </c>
      <c r="C6" s="6" t="s">
        <v>87</v>
      </c>
      <c r="D6" s="6" t="s">
        <v>88</v>
      </c>
      <c r="E6" s="6"/>
      <c r="F6" s="15" t="s">
        <v>89</v>
      </c>
      <c r="G6" s="14"/>
      <c r="H6" s="8" t="s">
        <v>90</v>
      </c>
      <c r="I6" s="6" t="s">
        <v>91</v>
      </c>
    </row>
    <row r="7" customFormat="false" ht="28.5" hidden="false" customHeight="true" outlineLevel="0" collapsed="false">
      <c r="A7" s="11" t="s">
        <v>75</v>
      </c>
      <c r="B7" s="6" t="s">
        <v>92</v>
      </c>
      <c r="C7" s="6" t="s">
        <v>93</v>
      </c>
      <c r="D7" s="6" t="s">
        <v>94</v>
      </c>
      <c r="E7" s="6"/>
      <c r="F7" s="15" t="s">
        <v>89</v>
      </c>
      <c r="G7" s="14"/>
      <c r="H7" s="6" t="s">
        <v>95</v>
      </c>
      <c r="I7" s="6" t="s">
        <v>96</v>
      </c>
    </row>
    <row r="8" customFormat="false" ht="42" hidden="false" customHeight="true" outlineLevel="0" collapsed="false">
      <c r="A8" s="11" t="s">
        <v>75</v>
      </c>
      <c r="B8" s="6" t="s">
        <v>97</v>
      </c>
      <c r="C8" s="6" t="s">
        <v>98</v>
      </c>
      <c r="D8" s="6" t="s">
        <v>99</v>
      </c>
      <c r="E8" s="6"/>
      <c r="F8" s="15" t="s">
        <v>89</v>
      </c>
      <c r="G8" s="14"/>
      <c r="H8" s="6" t="s">
        <v>100</v>
      </c>
      <c r="I8" s="6" t="s">
        <v>101</v>
      </c>
    </row>
    <row r="9" customFormat="false" ht="28.5" hidden="false" customHeight="true" outlineLevel="0" collapsed="false">
      <c r="A9" s="11" t="s">
        <v>75</v>
      </c>
      <c r="B9" s="6" t="s">
        <v>102</v>
      </c>
      <c r="C9" s="6" t="s">
        <v>38</v>
      </c>
      <c r="D9" s="6" t="s">
        <v>103</v>
      </c>
      <c r="E9" s="6"/>
      <c r="F9" s="15" t="s">
        <v>89</v>
      </c>
      <c r="G9" s="14"/>
      <c r="H9" s="6" t="s">
        <v>104</v>
      </c>
      <c r="I9" s="6" t="s">
        <v>105</v>
      </c>
    </row>
    <row r="10" customFormat="false" ht="28.5" hidden="false" customHeight="true" outlineLevel="0" collapsed="false">
      <c r="A10" s="11" t="s">
        <v>75</v>
      </c>
      <c r="B10" s="6" t="s">
        <v>106</v>
      </c>
      <c r="C10" s="6" t="s">
        <v>107</v>
      </c>
      <c r="D10" s="6" t="s">
        <v>108</v>
      </c>
      <c r="E10" s="6"/>
      <c r="F10" s="15" t="s">
        <v>89</v>
      </c>
      <c r="G10" s="14"/>
      <c r="H10" s="6" t="s">
        <v>109</v>
      </c>
      <c r="I10" s="6" t="s">
        <v>110</v>
      </c>
    </row>
    <row r="11" customFormat="false" ht="28.5" hidden="false" customHeight="true" outlineLevel="0" collapsed="false">
      <c r="A11" s="11" t="s">
        <v>75</v>
      </c>
      <c r="B11" s="6" t="s">
        <v>111</v>
      </c>
      <c r="C11" s="6" t="s">
        <v>112</v>
      </c>
      <c r="D11" s="6" t="s">
        <v>113</v>
      </c>
      <c r="E11" s="6"/>
      <c r="F11" s="15" t="s">
        <v>89</v>
      </c>
      <c r="G11" s="14"/>
      <c r="H11" s="6" t="s">
        <v>104</v>
      </c>
      <c r="I11" s="6" t="s">
        <v>114</v>
      </c>
    </row>
    <row r="12" customFormat="false" ht="28.5" hidden="false" customHeight="true" outlineLevel="0" collapsed="false">
      <c r="A12" s="11" t="s">
        <v>75</v>
      </c>
      <c r="B12" s="6" t="s">
        <v>115</v>
      </c>
      <c r="C12" s="6" t="s">
        <v>116</v>
      </c>
      <c r="D12" s="6" t="s">
        <v>117</v>
      </c>
      <c r="E12" s="6"/>
      <c r="F12" s="15" t="s">
        <v>89</v>
      </c>
      <c r="G12" s="14"/>
      <c r="H12" s="6" t="s">
        <v>118</v>
      </c>
      <c r="I12" s="6" t="s">
        <v>119</v>
      </c>
    </row>
    <row r="13" customFormat="false" ht="28.5" hidden="false" customHeight="true" outlineLevel="0" collapsed="false">
      <c r="A13" s="11" t="s">
        <v>75</v>
      </c>
      <c r="B13" s="6" t="s">
        <v>120</v>
      </c>
      <c r="C13" s="6" t="s">
        <v>121</v>
      </c>
      <c r="D13" s="6" t="s">
        <v>122</v>
      </c>
      <c r="E13" s="6"/>
      <c r="F13" s="15" t="s">
        <v>89</v>
      </c>
      <c r="G13" s="14"/>
      <c r="H13" s="6" t="s">
        <v>123</v>
      </c>
      <c r="I13" s="6" t="s">
        <v>124</v>
      </c>
    </row>
    <row r="14" customFormat="false" ht="28.5" hidden="false" customHeight="true" outlineLevel="0" collapsed="false">
      <c r="A14" s="16" t="s">
        <v>125</v>
      </c>
      <c r="B14" s="6" t="s">
        <v>126</v>
      </c>
      <c r="C14" s="6" t="s">
        <v>127</v>
      </c>
      <c r="D14" s="6" t="s">
        <v>128</v>
      </c>
      <c r="E14" s="12" t="n">
        <v>46212</v>
      </c>
      <c r="F14" s="15" t="str">
        <f aca="true">IF(E14&lt;TODAY(),"已截止",IF(E14=TODAY(),"今日截止",IF(E14-TODAY()&lt;=7,"7天内截止","进行中")))</f>
        <v>已截止</v>
      </c>
      <c r="G14" s="14" t="n">
        <f aca="true">IF(ISNUMBER(E14),E14-TODAY(),"")</f>
        <v>-103</v>
      </c>
      <c r="H14" s="6" t="s">
        <v>129</v>
      </c>
      <c r="I14" s="6" t="s">
        <v>130</v>
      </c>
    </row>
    <row r="15" customFormat="false" ht="28.5" hidden="false" customHeight="true" outlineLevel="0" collapsed="false">
      <c r="A15" s="16" t="s">
        <v>125</v>
      </c>
      <c r="B15" s="6" t="s">
        <v>131</v>
      </c>
      <c r="C15" s="6" t="s">
        <v>132</v>
      </c>
      <c r="D15" s="6" t="s">
        <v>133</v>
      </c>
      <c r="E15" s="12" t="n">
        <v>46213</v>
      </c>
      <c r="F15" s="15" t="str">
        <f aca="true">IF(E15&lt;TODAY(),"已截止",IF(E15=TODAY(),"今日截止",IF(E15-TODAY()&lt;=7,"7天内截止","进行中")))</f>
        <v>已截止</v>
      </c>
      <c r="G15" s="14" t="n">
        <f aca="true">IF(ISNUMBER(E15),E15-TODAY(),"")</f>
        <v>-102</v>
      </c>
      <c r="H15" s="6" t="s">
        <v>129</v>
      </c>
      <c r="I15" s="6" t="s">
        <v>134</v>
      </c>
    </row>
    <row r="16" customFormat="false" ht="28.5" hidden="false" customHeight="true" outlineLevel="0" collapsed="false">
      <c r="A16" s="16" t="s">
        <v>125</v>
      </c>
      <c r="B16" s="6" t="s">
        <v>135</v>
      </c>
      <c r="C16" s="6" t="s">
        <v>38</v>
      </c>
      <c r="D16" s="6" t="s">
        <v>136</v>
      </c>
      <c r="E16" s="12" t="n">
        <v>46236</v>
      </c>
      <c r="F16" s="15" t="str">
        <f aca="true">IF(E16&lt;TODAY(),"已截止",IF(E16=TODAY(),"今日截止",IF(E16-TODAY()&lt;=7,"7天内截止","进行中")))</f>
        <v>已截止</v>
      </c>
      <c r="G16" s="14" t="n">
        <f aca="true">IF(ISNUMBER(E16),E16-TODAY(),"")</f>
        <v>-79</v>
      </c>
      <c r="H16" s="6" t="s">
        <v>129</v>
      </c>
      <c r="I16" s="6" t="s">
        <v>137</v>
      </c>
    </row>
    <row r="17" customFormat="false" ht="28.5" hidden="false" customHeight="true" outlineLevel="0" collapsed="false">
      <c r="A17" s="16" t="s">
        <v>125</v>
      </c>
      <c r="B17" s="6" t="s">
        <v>138</v>
      </c>
      <c r="C17" s="6" t="s">
        <v>139</v>
      </c>
      <c r="D17" s="6" t="s">
        <v>140</v>
      </c>
      <c r="E17" s="12" t="n">
        <v>46249</v>
      </c>
      <c r="F17" s="15" t="str">
        <f aca="true">IF(E17&lt;TODAY(),"已截止",IF(E17=TODAY(),"今日截止",IF(E17-TODAY()&lt;=7,"7天内截止","进行中")))</f>
        <v>已截止</v>
      </c>
      <c r="G17" s="14" t="n">
        <f aca="true">IF(ISNUMBER(E17),E17-TODAY(),"")</f>
        <v>-66</v>
      </c>
      <c r="H17" s="6" t="s">
        <v>129</v>
      </c>
      <c r="I17" s="6" t="s">
        <v>134</v>
      </c>
    </row>
    <row r="18" customFormat="false" ht="42" hidden="false" customHeight="true" outlineLevel="0" collapsed="false">
      <c r="A18" s="16" t="s">
        <v>125</v>
      </c>
      <c r="B18" s="6" t="s">
        <v>141</v>
      </c>
      <c r="C18" s="6" t="s">
        <v>142</v>
      </c>
      <c r="D18" s="6" t="s">
        <v>143</v>
      </c>
      <c r="E18" s="12" t="n">
        <v>46274</v>
      </c>
      <c r="F18" s="15" t="str">
        <f aca="true">IF(E18&lt;TODAY(),"已截止",IF(E18=TODAY(),"今日截止",IF(E18-TODAY()&lt;=7,"7天内截止","进行中")))</f>
        <v>已截止</v>
      </c>
      <c r="G18" s="14" t="n">
        <f aca="true">IF(ISNUMBER(E18),E18-TODAY(),"")</f>
        <v>-41</v>
      </c>
      <c r="H18" s="8" t="s">
        <v>144</v>
      </c>
      <c r="I18" s="6" t="s">
        <v>145</v>
      </c>
    </row>
    <row r="19" customFormat="false" ht="28.5" hidden="false" customHeight="true" outlineLevel="0" collapsed="false">
      <c r="A19" s="16" t="s">
        <v>125</v>
      </c>
      <c r="B19" s="6" t="s">
        <v>146</v>
      </c>
      <c r="C19" s="6" t="s">
        <v>38</v>
      </c>
      <c r="D19" s="6" t="s">
        <v>147</v>
      </c>
      <c r="E19" s="12" t="n">
        <v>46293</v>
      </c>
      <c r="F19" s="15" t="str">
        <f aca="true">IF(E19&lt;TODAY(),"已截止",IF(E19=TODAY(),"今日截止",IF(E19-TODAY()&lt;=7,"7天内截止","进行中")))</f>
        <v>已截止</v>
      </c>
      <c r="G19" s="14" t="n">
        <f aca="true">IF(ISNUMBER(E19),E19-TODAY(),"")</f>
        <v>-22</v>
      </c>
      <c r="H19" s="8" t="s">
        <v>148</v>
      </c>
      <c r="I19" s="6" t="s">
        <v>149</v>
      </c>
    </row>
    <row r="20" customFormat="false" ht="28.5" hidden="false" customHeight="true" outlineLevel="0" collapsed="false">
      <c r="A20" s="16" t="s">
        <v>125</v>
      </c>
      <c r="B20" s="6" t="s">
        <v>150</v>
      </c>
      <c r="C20" s="6" t="s">
        <v>151</v>
      </c>
      <c r="D20" s="6" t="s">
        <v>152</v>
      </c>
      <c r="E20" s="12" t="n">
        <v>46302</v>
      </c>
      <c r="F20" s="15" t="str">
        <f aca="true">IF(E20&lt;TODAY(),"已截止",IF(E20=TODAY(),"今日截止",IF(E20-TODAY()&lt;=7,"7天内截止","进行中")))</f>
        <v>已截止</v>
      </c>
      <c r="G20" s="14" t="n">
        <f aca="true">IF(ISNUMBER(E20),E20-TODAY(),"")</f>
        <v>-13</v>
      </c>
      <c r="H20" s="6" t="s">
        <v>153</v>
      </c>
      <c r="I20" s="6" t="s">
        <v>154</v>
      </c>
    </row>
    <row r="21" customFormat="false" ht="28.5" hidden="false" customHeight="true" outlineLevel="0" collapsed="false">
      <c r="A21" s="17" t="s">
        <v>155</v>
      </c>
      <c r="B21" s="6" t="s">
        <v>156</v>
      </c>
      <c r="C21" s="6" t="s">
        <v>157</v>
      </c>
      <c r="D21" s="6" t="s">
        <v>158</v>
      </c>
      <c r="E21" s="6"/>
      <c r="F21" s="15" t="s">
        <v>159</v>
      </c>
      <c r="G21" s="14"/>
      <c r="H21" s="6" t="s">
        <v>160</v>
      </c>
      <c r="I21" s="6" t="s">
        <v>161</v>
      </c>
    </row>
    <row r="22" customFormat="false" ht="28.5" hidden="false" customHeight="true" outlineLevel="0" collapsed="false">
      <c r="A22" s="17" t="s">
        <v>155</v>
      </c>
      <c r="B22" s="6" t="s">
        <v>162</v>
      </c>
      <c r="C22" s="6" t="s">
        <v>157</v>
      </c>
      <c r="D22" s="6" t="s">
        <v>163</v>
      </c>
      <c r="E22" s="6"/>
      <c r="F22" s="15" t="s">
        <v>159</v>
      </c>
      <c r="G22" s="14"/>
      <c r="H22" s="6" t="s">
        <v>160</v>
      </c>
      <c r="I22" s="6" t="s">
        <v>164</v>
      </c>
    </row>
    <row r="23" customFormat="false" ht="28.5" hidden="false" customHeight="true" outlineLevel="0" collapsed="false">
      <c r="A23" s="17" t="s">
        <v>155</v>
      </c>
      <c r="B23" s="6" t="s">
        <v>165</v>
      </c>
      <c r="C23" s="6" t="s">
        <v>166</v>
      </c>
      <c r="D23" s="6" t="s">
        <v>167</v>
      </c>
      <c r="E23" s="6"/>
      <c r="F23" s="15" t="s">
        <v>159</v>
      </c>
      <c r="G23" s="14"/>
      <c r="H23" s="6" t="s">
        <v>168</v>
      </c>
      <c r="I23" s="6" t="s">
        <v>169</v>
      </c>
    </row>
    <row r="24" customFormat="false" ht="28.5" hidden="false" customHeight="true" outlineLevel="0" collapsed="false">
      <c r="A24" s="17" t="s">
        <v>155</v>
      </c>
      <c r="B24" s="6" t="s">
        <v>170</v>
      </c>
      <c r="C24" s="6" t="s">
        <v>157</v>
      </c>
      <c r="D24" s="6" t="s">
        <v>171</v>
      </c>
      <c r="E24" s="6"/>
      <c r="F24" s="15" t="s">
        <v>159</v>
      </c>
      <c r="G24" s="14"/>
      <c r="H24" s="6" t="s">
        <v>160</v>
      </c>
      <c r="I24" s="6" t="s">
        <v>172</v>
      </c>
    </row>
    <row r="25" customFormat="false" ht="28.5" hidden="false" customHeight="true" outlineLevel="0" collapsed="false">
      <c r="A25" s="17" t="s">
        <v>155</v>
      </c>
      <c r="B25" s="6" t="s">
        <v>173</v>
      </c>
      <c r="C25" s="6" t="s">
        <v>166</v>
      </c>
      <c r="D25" s="6" t="s">
        <v>174</v>
      </c>
      <c r="E25" s="6"/>
      <c r="F25" s="15" t="s">
        <v>159</v>
      </c>
      <c r="G25" s="14"/>
      <c r="H25" s="6" t="s">
        <v>160</v>
      </c>
      <c r="I25" s="6" t="s">
        <v>175</v>
      </c>
    </row>
    <row r="26" customFormat="false" ht="28.5" hidden="false" customHeight="true" outlineLevel="0" collapsed="false">
      <c r="A26" s="17" t="s">
        <v>155</v>
      </c>
      <c r="B26" s="6" t="s">
        <v>176</v>
      </c>
      <c r="C26" s="6" t="s">
        <v>166</v>
      </c>
      <c r="D26" s="6" t="s">
        <v>177</v>
      </c>
      <c r="E26" s="6"/>
      <c r="F26" s="15" t="s">
        <v>159</v>
      </c>
      <c r="G26" s="14"/>
      <c r="H26" s="6" t="s">
        <v>160</v>
      </c>
      <c r="I26" s="6" t="s">
        <v>178</v>
      </c>
    </row>
    <row r="27" customFormat="false" ht="28.5" hidden="false" customHeight="true" outlineLevel="0" collapsed="false">
      <c r="A27" s="17" t="s">
        <v>155</v>
      </c>
      <c r="B27" s="6" t="s">
        <v>179</v>
      </c>
      <c r="C27" s="6" t="s">
        <v>157</v>
      </c>
      <c r="D27" s="6" t="s">
        <v>180</v>
      </c>
      <c r="E27" s="6"/>
      <c r="F27" s="15" t="s">
        <v>159</v>
      </c>
      <c r="G27" s="14"/>
      <c r="H27" s="6" t="s">
        <v>160</v>
      </c>
      <c r="I27" s="6" t="s">
        <v>181</v>
      </c>
    </row>
    <row r="28" customFormat="false" ht="28.5" hidden="false" customHeight="true" outlineLevel="0" collapsed="false">
      <c r="A28" s="17" t="s">
        <v>155</v>
      </c>
      <c r="B28" s="6" t="s">
        <v>182</v>
      </c>
      <c r="C28" s="6" t="s">
        <v>157</v>
      </c>
      <c r="D28" s="6" t="s">
        <v>183</v>
      </c>
      <c r="E28" s="6"/>
      <c r="F28" s="15" t="s">
        <v>159</v>
      </c>
      <c r="G28" s="14"/>
      <c r="H28" s="6" t="s">
        <v>184</v>
      </c>
      <c r="I28" s="6" t="s">
        <v>185</v>
      </c>
    </row>
    <row r="29" customFormat="false" ht="28.5" hidden="false" customHeight="true" outlineLevel="0" collapsed="false">
      <c r="A29" s="17" t="s">
        <v>155</v>
      </c>
      <c r="B29" s="6" t="s">
        <v>186</v>
      </c>
      <c r="C29" s="6" t="s">
        <v>93</v>
      </c>
      <c r="D29" s="6" t="s">
        <v>187</v>
      </c>
      <c r="E29" s="6"/>
      <c r="F29" s="15" t="s">
        <v>159</v>
      </c>
      <c r="G29" s="14"/>
      <c r="H29" s="6" t="s">
        <v>188</v>
      </c>
      <c r="I29" s="6" t="s">
        <v>189</v>
      </c>
    </row>
    <row r="30" customFormat="false" ht="42" hidden="false" customHeight="true" outlineLevel="0" collapsed="false">
      <c r="A30" s="17" t="s">
        <v>155</v>
      </c>
      <c r="B30" s="6" t="s">
        <v>190</v>
      </c>
      <c r="C30" s="6" t="s">
        <v>93</v>
      </c>
      <c r="D30" s="6" t="s">
        <v>191</v>
      </c>
      <c r="E30" s="6"/>
      <c r="F30" s="15" t="s">
        <v>159</v>
      </c>
      <c r="G30" s="14"/>
      <c r="H30" s="6" t="s">
        <v>192</v>
      </c>
      <c r="I30" s="6" t="s">
        <v>193</v>
      </c>
    </row>
    <row r="31" customFormat="false" ht="28.5" hidden="false" customHeight="true" outlineLevel="0" collapsed="false">
      <c r="A31" s="17" t="s">
        <v>155</v>
      </c>
      <c r="B31" s="6" t="s">
        <v>194</v>
      </c>
      <c r="C31" s="6" t="s">
        <v>93</v>
      </c>
      <c r="D31" s="6" t="s">
        <v>195</v>
      </c>
      <c r="E31" s="6"/>
      <c r="F31" s="15" t="s">
        <v>159</v>
      </c>
      <c r="G31" s="14"/>
      <c r="H31" s="6" t="s">
        <v>160</v>
      </c>
      <c r="I31" s="6" t="s">
        <v>196</v>
      </c>
    </row>
    <row r="32" customFormat="false" ht="28.5" hidden="false" customHeight="true" outlineLevel="0" collapsed="false">
      <c r="A32" s="17" t="s">
        <v>155</v>
      </c>
      <c r="B32" s="6" t="s">
        <v>197</v>
      </c>
      <c r="C32" s="6" t="s">
        <v>93</v>
      </c>
      <c r="D32" s="6" t="s">
        <v>171</v>
      </c>
      <c r="E32" s="6"/>
      <c r="F32" s="15" t="s">
        <v>159</v>
      </c>
      <c r="G32" s="14"/>
      <c r="H32" s="6" t="s">
        <v>160</v>
      </c>
      <c r="I32" s="6" t="s">
        <v>169</v>
      </c>
    </row>
    <row r="33" customFormat="false" ht="28.5" hidden="false" customHeight="true" outlineLevel="0" collapsed="false">
      <c r="A33" s="17" t="s">
        <v>155</v>
      </c>
      <c r="B33" s="6" t="s">
        <v>198</v>
      </c>
      <c r="C33" s="6" t="s">
        <v>93</v>
      </c>
      <c r="D33" s="6" t="s">
        <v>174</v>
      </c>
      <c r="E33" s="6"/>
      <c r="F33" s="15" t="s">
        <v>159</v>
      </c>
      <c r="G33" s="14"/>
      <c r="H33" s="6" t="s">
        <v>160</v>
      </c>
      <c r="I33" s="6" t="s">
        <v>199</v>
      </c>
    </row>
    <row r="34" customFormat="false" ht="28.5" hidden="false" customHeight="true" outlineLevel="0" collapsed="false">
      <c r="A34" s="17" t="s">
        <v>155</v>
      </c>
      <c r="B34" s="6" t="s">
        <v>200</v>
      </c>
      <c r="C34" s="6" t="s">
        <v>93</v>
      </c>
      <c r="D34" s="6" t="s">
        <v>201</v>
      </c>
      <c r="E34" s="6"/>
      <c r="F34" s="15" t="s">
        <v>159</v>
      </c>
      <c r="G34" s="14"/>
      <c r="H34" s="6" t="s">
        <v>160</v>
      </c>
      <c r="I34" s="8" t="s">
        <v>202</v>
      </c>
    </row>
    <row r="35" customFormat="false" ht="28.5" hidden="false" customHeight="true" outlineLevel="0" collapsed="false">
      <c r="A35" s="17" t="s">
        <v>155</v>
      </c>
      <c r="B35" s="6" t="s">
        <v>203</v>
      </c>
      <c r="C35" s="6" t="s">
        <v>204</v>
      </c>
      <c r="D35" s="6" t="s">
        <v>205</v>
      </c>
      <c r="E35" s="6"/>
      <c r="F35" s="15" t="s">
        <v>159</v>
      </c>
      <c r="G35" s="14"/>
      <c r="H35" s="6" t="s">
        <v>160</v>
      </c>
      <c r="I35" s="6" t="s">
        <v>199</v>
      </c>
    </row>
    <row r="36" customFormat="false" ht="28.5" hidden="false" customHeight="true" outlineLevel="0" collapsed="false">
      <c r="A36" s="17" t="s">
        <v>155</v>
      </c>
      <c r="B36" s="6" t="s">
        <v>206</v>
      </c>
      <c r="C36" s="6" t="s">
        <v>93</v>
      </c>
      <c r="D36" s="6" t="s">
        <v>177</v>
      </c>
      <c r="E36" s="6"/>
      <c r="F36" s="15" t="s">
        <v>159</v>
      </c>
      <c r="G36" s="14"/>
      <c r="H36" s="6" t="s">
        <v>160</v>
      </c>
      <c r="I36" s="6" t="s">
        <v>207</v>
      </c>
    </row>
    <row r="37" customFormat="false" ht="28.5" hidden="false" customHeight="true" outlineLevel="0" collapsed="false">
      <c r="A37" s="17" t="s">
        <v>155</v>
      </c>
      <c r="B37" s="6" t="s">
        <v>208</v>
      </c>
      <c r="C37" s="6" t="s">
        <v>38</v>
      </c>
      <c r="D37" s="6" t="s">
        <v>209</v>
      </c>
      <c r="E37" s="6"/>
      <c r="F37" s="15" t="s">
        <v>159</v>
      </c>
      <c r="G37" s="14"/>
      <c r="H37" s="6" t="s">
        <v>160</v>
      </c>
      <c r="I37" s="6" t="s">
        <v>175</v>
      </c>
    </row>
    <row r="38" customFormat="false" ht="28.5" hidden="false" customHeight="true" outlineLevel="0" collapsed="false">
      <c r="A38" s="17" t="s">
        <v>155</v>
      </c>
      <c r="B38" s="6" t="s">
        <v>210</v>
      </c>
      <c r="C38" s="6" t="s">
        <v>38</v>
      </c>
      <c r="D38" s="6" t="s">
        <v>211</v>
      </c>
      <c r="E38" s="6"/>
      <c r="F38" s="15" t="s">
        <v>159</v>
      </c>
      <c r="G38" s="14"/>
      <c r="H38" s="6" t="s">
        <v>160</v>
      </c>
      <c r="I38" s="8" t="s">
        <v>212</v>
      </c>
    </row>
    <row r="39" customFormat="false" ht="28.5" hidden="false" customHeight="true" outlineLevel="0" collapsed="false">
      <c r="A39" s="17" t="s">
        <v>155</v>
      </c>
      <c r="B39" s="6" t="s">
        <v>213</v>
      </c>
      <c r="C39" s="6" t="s">
        <v>38</v>
      </c>
      <c r="D39" s="6" t="s">
        <v>214</v>
      </c>
      <c r="E39" s="6"/>
      <c r="F39" s="15" t="s">
        <v>159</v>
      </c>
      <c r="G39" s="14"/>
      <c r="H39" s="6" t="s">
        <v>215</v>
      </c>
      <c r="I39" s="8" t="s">
        <v>216</v>
      </c>
    </row>
    <row r="40" customFormat="false" ht="28.5" hidden="false" customHeight="true" outlineLevel="0" collapsed="false">
      <c r="A40" s="17" t="s">
        <v>155</v>
      </c>
      <c r="B40" s="6" t="s">
        <v>217</v>
      </c>
      <c r="C40" s="6" t="s">
        <v>38</v>
      </c>
      <c r="D40" s="6" t="s">
        <v>218</v>
      </c>
      <c r="E40" s="6"/>
      <c r="F40" s="15" t="s">
        <v>159</v>
      </c>
      <c r="G40" s="14"/>
      <c r="H40" s="6" t="s">
        <v>160</v>
      </c>
      <c r="I40" s="6" t="s">
        <v>219</v>
      </c>
    </row>
    <row r="41" customFormat="false" ht="28.5" hidden="false" customHeight="true" outlineLevel="0" collapsed="false">
      <c r="A41" s="17" t="s">
        <v>155</v>
      </c>
      <c r="B41" s="6" t="s">
        <v>220</v>
      </c>
      <c r="C41" s="6" t="s">
        <v>38</v>
      </c>
      <c r="D41" s="6" t="s">
        <v>221</v>
      </c>
      <c r="E41" s="6"/>
      <c r="F41" s="15" t="s">
        <v>159</v>
      </c>
      <c r="G41" s="14"/>
      <c r="H41" s="6" t="s">
        <v>160</v>
      </c>
      <c r="I41" s="8" t="s">
        <v>222</v>
      </c>
    </row>
    <row r="42" customFormat="false" ht="28.5" hidden="false" customHeight="true" outlineLevel="0" collapsed="false">
      <c r="A42" s="17" t="s">
        <v>155</v>
      </c>
      <c r="B42" s="6" t="s">
        <v>223</v>
      </c>
      <c r="C42" s="6" t="s">
        <v>38</v>
      </c>
      <c r="D42" s="6" t="s">
        <v>224</v>
      </c>
      <c r="E42" s="6"/>
      <c r="F42" s="15" t="s">
        <v>159</v>
      </c>
      <c r="G42" s="14"/>
      <c r="H42" s="6" t="s">
        <v>160</v>
      </c>
      <c r="I42" s="6" t="s">
        <v>225</v>
      </c>
    </row>
    <row r="43" customFormat="false" ht="28.5" hidden="false" customHeight="true" outlineLevel="0" collapsed="false">
      <c r="A43" s="17" t="s">
        <v>155</v>
      </c>
      <c r="B43" s="6" t="s">
        <v>226</v>
      </c>
      <c r="C43" s="6" t="s">
        <v>38</v>
      </c>
      <c r="D43" s="6" t="s">
        <v>227</v>
      </c>
      <c r="E43" s="6"/>
      <c r="F43" s="15" t="s">
        <v>159</v>
      </c>
      <c r="G43" s="14"/>
      <c r="H43" s="6" t="s">
        <v>228</v>
      </c>
      <c r="I43" s="6" t="s">
        <v>199</v>
      </c>
    </row>
    <row r="44" customFormat="false" ht="28.5" hidden="false" customHeight="true" outlineLevel="0" collapsed="false">
      <c r="A44" s="17" t="s">
        <v>155</v>
      </c>
      <c r="B44" s="6" t="s">
        <v>229</v>
      </c>
      <c r="C44" s="6" t="s">
        <v>38</v>
      </c>
      <c r="D44" s="6" t="s">
        <v>230</v>
      </c>
      <c r="E44" s="6"/>
      <c r="F44" s="15" t="s">
        <v>159</v>
      </c>
      <c r="G44" s="14"/>
      <c r="H44" s="6" t="s">
        <v>104</v>
      </c>
      <c r="I44" s="8" t="s">
        <v>231</v>
      </c>
    </row>
    <row r="45" customFormat="false" ht="28.5" hidden="false" customHeight="true" outlineLevel="0" collapsed="false">
      <c r="A45" s="17" t="s">
        <v>155</v>
      </c>
      <c r="B45" s="6" t="s">
        <v>232</v>
      </c>
      <c r="C45" s="6" t="s">
        <v>233</v>
      </c>
      <c r="D45" s="6" t="s">
        <v>174</v>
      </c>
      <c r="E45" s="6"/>
      <c r="F45" s="15" t="s">
        <v>159</v>
      </c>
      <c r="G45" s="14"/>
      <c r="H45" s="6" t="s">
        <v>160</v>
      </c>
      <c r="I45" s="6" t="s">
        <v>199</v>
      </c>
    </row>
    <row r="46" customFormat="false" ht="28.5" hidden="false" customHeight="true" outlineLevel="0" collapsed="false">
      <c r="A46" s="17" t="s">
        <v>155</v>
      </c>
      <c r="B46" s="6" t="s">
        <v>234</v>
      </c>
      <c r="C46" s="6" t="s">
        <v>233</v>
      </c>
      <c r="D46" s="6" t="s">
        <v>235</v>
      </c>
      <c r="E46" s="6"/>
      <c r="F46" s="15" t="s">
        <v>159</v>
      </c>
      <c r="G46" s="14"/>
      <c r="H46" s="6" t="s">
        <v>236</v>
      </c>
      <c r="I46" s="6" t="s">
        <v>237</v>
      </c>
    </row>
    <row r="47" customFormat="false" ht="28.5" hidden="false" customHeight="true" outlineLevel="0" collapsed="false">
      <c r="A47" s="17" t="s">
        <v>155</v>
      </c>
      <c r="B47" s="6" t="s">
        <v>238</v>
      </c>
      <c r="C47" s="6" t="s">
        <v>233</v>
      </c>
      <c r="D47" s="6" t="s">
        <v>177</v>
      </c>
      <c r="E47" s="6"/>
      <c r="F47" s="15" t="s">
        <v>159</v>
      </c>
      <c r="G47" s="14"/>
      <c r="H47" s="6" t="s">
        <v>160</v>
      </c>
      <c r="I47" s="8" t="s">
        <v>239</v>
      </c>
    </row>
    <row r="48" customFormat="false" ht="28.5" hidden="false" customHeight="true" outlineLevel="0" collapsed="false">
      <c r="A48" s="17" t="s">
        <v>155</v>
      </c>
      <c r="B48" s="6" t="s">
        <v>240</v>
      </c>
      <c r="C48" s="6" t="s">
        <v>233</v>
      </c>
      <c r="D48" s="6" t="s">
        <v>177</v>
      </c>
      <c r="E48" s="6"/>
      <c r="F48" s="15" t="s">
        <v>159</v>
      </c>
      <c r="G48" s="14"/>
      <c r="H48" s="6" t="s">
        <v>160</v>
      </c>
      <c r="I48" s="8" t="s">
        <v>241</v>
      </c>
    </row>
    <row r="49" customFormat="false" ht="28.5" hidden="false" customHeight="true" outlineLevel="0" collapsed="false">
      <c r="A49" s="17" t="s">
        <v>155</v>
      </c>
      <c r="B49" s="6" t="s">
        <v>242</v>
      </c>
      <c r="C49" s="6" t="s">
        <v>243</v>
      </c>
      <c r="D49" s="6" t="s">
        <v>244</v>
      </c>
      <c r="E49" s="6"/>
      <c r="F49" s="15" t="s">
        <v>159</v>
      </c>
      <c r="G49" s="14"/>
      <c r="H49" s="6" t="s">
        <v>215</v>
      </c>
      <c r="I49" s="6" t="s">
        <v>245</v>
      </c>
    </row>
    <row r="50" customFormat="false" ht="28.5" hidden="false" customHeight="true" outlineLevel="0" collapsed="false">
      <c r="A50" s="17" t="s">
        <v>155</v>
      </c>
      <c r="B50" s="6" t="s">
        <v>246</v>
      </c>
      <c r="C50" s="6" t="s">
        <v>233</v>
      </c>
      <c r="D50" s="6" t="s">
        <v>247</v>
      </c>
      <c r="E50" s="6"/>
      <c r="F50" s="15" t="s">
        <v>159</v>
      </c>
      <c r="G50" s="14"/>
      <c r="H50" s="6" t="s">
        <v>248</v>
      </c>
      <c r="I50" s="6" t="s">
        <v>199</v>
      </c>
    </row>
    <row r="51" customFormat="false" ht="28.5" hidden="false" customHeight="true" outlineLevel="0" collapsed="false">
      <c r="A51" s="17" t="s">
        <v>155</v>
      </c>
      <c r="B51" s="6" t="s">
        <v>249</v>
      </c>
      <c r="C51" s="6" t="s">
        <v>233</v>
      </c>
      <c r="D51" s="6" t="s">
        <v>250</v>
      </c>
      <c r="E51" s="6"/>
      <c r="F51" s="15" t="s">
        <v>159</v>
      </c>
      <c r="G51" s="14"/>
      <c r="H51" s="6" t="s">
        <v>160</v>
      </c>
      <c r="I51" s="6" t="s">
        <v>199</v>
      </c>
    </row>
    <row r="52" customFormat="false" ht="28.5" hidden="false" customHeight="true" outlineLevel="0" collapsed="false">
      <c r="A52" s="17" t="s">
        <v>155</v>
      </c>
      <c r="B52" s="6" t="s">
        <v>251</v>
      </c>
      <c r="C52" s="6" t="s">
        <v>107</v>
      </c>
      <c r="D52" s="6" t="s">
        <v>252</v>
      </c>
      <c r="E52" s="6"/>
      <c r="F52" s="15" t="s">
        <v>159</v>
      </c>
      <c r="G52" s="14"/>
      <c r="H52" s="6" t="s">
        <v>253</v>
      </c>
      <c r="I52" s="6" t="s">
        <v>254</v>
      </c>
    </row>
    <row r="53" customFormat="false" ht="28.5" hidden="false" customHeight="true" outlineLevel="0" collapsed="false">
      <c r="A53" s="17" t="s">
        <v>155</v>
      </c>
      <c r="B53" s="6" t="s">
        <v>255</v>
      </c>
      <c r="C53" s="6" t="s">
        <v>107</v>
      </c>
      <c r="D53" s="6" t="s">
        <v>256</v>
      </c>
      <c r="E53" s="6"/>
      <c r="F53" s="15" t="s">
        <v>159</v>
      </c>
      <c r="G53" s="14"/>
      <c r="H53" s="6" t="s">
        <v>257</v>
      </c>
      <c r="I53" s="6" t="s">
        <v>258</v>
      </c>
    </row>
    <row r="54" customFormat="false" ht="28.5" hidden="false" customHeight="true" outlineLevel="0" collapsed="false">
      <c r="A54" s="17" t="s">
        <v>155</v>
      </c>
      <c r="B54" s="6" t="s">
        <v>259</v>
      </c>
      <c r="C54" s="6" t="s">
        <v>107</v>
      </c>
      <c r="D54" s="6" t="s">
        <v>177</v>
      </c>
      <c r="E54" s="6"/>
      <c r="F54" s="15" t="s">
        <v>159</v>
      </c>
      <c r="G54" s="14"/>
      <c r="H54" s="6" t="s">
        <v>160</v>
      </c>
      <c r="I54" s="6" t="s">
        <v>199</v>
      </c>
    </row>
    <row r="55" customFormat="false" ht="28.5" hidden="false" customHeight="true" outlineLevel="0" collapsed="false">
      <c r="A55" s="17" t="s">
        <v>155</v>
      </c>
      <c r="B55" s="6" t="s">
        <v>260</v>
      </c>
      <c r="C55" s="6" t="s">
        <v>107</v>
      </c>
      <c r="D55" s="6" t="s">
        <v>177</v>
      </c>
      <c r="E55" s="6"/>
      <c r="F55" s="15" t="s">
        <v>159</v>
      </c>
      <c r="G55" s="14"/>
      <c r="H55" s="6" t="s">
        <v>160</v>
      </c>
      <c r="I55" s="6" t="s">
        <v>199</v>
      </c>
    </row>
    <row r="56" customFormat="false" ht="28.5" hidden="false" customHeight="true" outlineLevel="0" collapsed="false">
      <c r="A56" s="17" t="s">
        <v>155</v>
      </c>
      <c r="B56" s="6" t="s">
        <v>261</v>
      </c>
      <c r="C56" s="6" t="s">
        <v>262</v>
      </c>
      <c r="D56" s="6" t="s">
        <v>263</v>
      </c>
      <c r="E56" s="6"/>
      <c r="F56" s="15" t="s">
        <v>159</v>
      </c>
      <c r="G56" s="14"/>
      <c r="H56" s="6" t="s">
        <v>160</v>
      </c>
      <c r="I56" s="6" t="s">
        <v>264</v>
      </c>
    </row>
    <row r="57" customFormat="false" ht="28.5" hidden="false" customHeight="true" outlineLevel="0" collapsed="false">
      <c r="A57" s="17" t="s">
        <v>155</v>
      </c>
      <c r="B57" s="6" t="s">
        <v>265</v>
      </c>
      <c r="C57" s="6" t="s">
        <v>139</v>
      </c>
      <c r="D57" s="6" t="s">
        <v>174</v>
      </c>
      <c r="E57" s="6"/>
      <c r="F57" s="15" t="s">
        <v>159</v>
      </c>
      <c r="G57" s="14"/>
      <c r="H57" s="6" t="s">
        <v>160</v>
      </c>
      <c r="I57" s="8" t="s">
        <v>266</v>
      </c>
    </row>
    <row r="58" customFormat="false" ht="28.5" hidden="false" customHeight="true" outlineLevel="0" collapsed="false">
      <c r="A58" s="17" t="s">
        <v>155</v>
      </c>
      <c r="B58" s="6" t="s">
        <v>267</v>
      </c>
      <c r="C58" s="6" t="s">
        <v>268</v>
      </c>
      <c r="D58" s="6" t="s">
        <v>269</v>
      </c>
      <c r="E58" s="6"/>
      <c r="F58" s="15" t="s">
        <v>159</v>
      </c>
      <c r="G58" s="14"/>
      <c r="H58" s="6" t="s">
        <v>160</v>
      </c>
      <c r="I58" s="6" t="s">
        <v>270</v>
      </c>
    </row>
    <row r="59" customFormat="false" ht="28.5" hidden="false" customHeight="true" outlineLevel="0" collapsed="false">
      <c r="A59" s="17" t="s">
        <v>155</v>
      </c>
      <c r="B59" s="6" t="s">
        <v>271</v>
      </c>
      <c r="C59" s="6" t="s">
        <v>272</v>
      </c>
      <c r="D59" s="6" t="s">
        <v>273</v>
      </c>
      <c r="E59" s="6"/>
      <c r="F59" s="15" t="s">
        <v>159</v>
      </c>
      <c r="G59" s="14"/>
      <c r="H59" s="6" t="s">
        <v>160</v>
      </c>
      <c r="I59" s="6" t="s">
        <v>274</v>
      </c>
    </row>
    <row r="60" customFormat="false" ht="28.5" hidden="false" customHeight="true" outlineLevel="0" collapsed="false">
      <c r="A60" s="17" t="s">
        <v>155</v>
      </c>
      <c r="B60" s="6" t="s">
        <v>275</v>
      </c>
      <c r="C60" s="6" t="s">
        <v>268</v>
      </c>
      <c r="D60" s="6" t="s">
        <v>276</v>
      </c>
      <c r="E60" s="6"/>
      <c r="F60" s="15" t="s">
        <v>159</v>
      </c>
      <c r="G60" s="14"/>
      <c r="H60" s="6" t="s">
        <v>160</v>
      </c>
      <c r="I60" s="6" t="s">
        <v>277</v>
      </c>
    </row>
    <row r="61" customFormat="false" ht="28.5" hidden="false" customHeight="true" outlineLevel="0" collapsed="false">
      <c r="A61" s="17" t="s">
        <v>155</v>
      </c>
      <c r="B61" s="6" t="s">
        <v>278</v>
      </c>
      <c r="C61" s="6" t="s">
        <v>42</v>
      </c>
      <c r="D61" s="6" t="s">
        <v>205</v>
      </c>
      <c r="E61" s="6"/>
      <c r="F61" s="15" t="s">
        <v>159</v>
      </c>
      <c r="G61" s="14"/>
      <c r="H61" s="6" t="s">
        <v>160</v>
      </c>
      <c r="I61" s="8" t="s">
        <v>279</v>
      </c>
    </row>
    <row r="62" customFormat="false" ht="28.5" hidden="false" customHeight="true" outlineLevel="0" collapsed="false">
      <c r="A62" s="17" t="s">
        <v>155</v>
      </c>
      <c r="B62" s="6" t="s">
        <v>280</v>
      </c>
      <c r="C62" s="6" t="s">
        <v>42</v>
      </c>
      <c r="D62" s="6" t="s">
        <v>281</v>
      </c>
      <c r="E62" s="6"/>
      <c r="F62" s="15" t="s">
        <v>159</v>
      </c>
      <c r="G62" s="14"/>
      <c r="H62" s="6" t="s">
        <v>104</v>
      </c>
      <c r="I62" s="6" t="s">
        <v>199</v>
      </c>
    </row>
    <row r="63" customFormat="false" ht="28.5" hidden="false" customHeight="true" outlineLevel="0" collapsed="false">
      <c r="A63" s="17" t="s">
        <v>155</v>
      </c>
      <c r="B63" s="6" t="s">
        <v>282</v>
      </c>
      <c r="C63" s="6" t="s">
        <v>42</v>
      </c>
      <c r="D63" s="6" t="s">
        <v>283</v>
      </c>
      <c r="E63" s="6"/>
      <c r="F63" s="15" t="s">
        <v>159</v>
      </c>
      <c r="G63" s="14"/>
      <c r="H63" s="6" t="s">
        <v>284</v>
      </c>
      <c r="I63" s="6" t="s">
        <v>285</v>
      </c>
    </row>
    <row r="64" customFormat="false" ht="28.5" hidden="false" customHeight="true" outlineLevel="0" collapsed="false">
      <c r="A64" s="17" t="s">
        <v>155</v>
      </c>
      <c r="B64" s="6" t="s">
        <v>286</v>
      </c>
      <c r="C64" s="6" t="s">
        <v>42</v>
      </c>
      <c r="D64" s="6" t="s">
        <v>287</v>
      </c>
      <c r="E64" s="6"/>
      <c r="F64" s="15" t="s">
        <v>159</v>
      </c>
      <c r="G64" s="14"/>
      <c r="H64" s="6" t="s">
        <v>160</v>
      </c>
      <c r="I64" s="6" t="s">
        <v>288</v>
      </c>
    </row>
    <row r="65" customFormat="false" ht="28.5" hidden="false" customHeight="true" outlineLevel="0" collapsed="false">
      <c r="A65" s="17" t="s">
        <v>155</v>
      </c>
      <c r="B65" s="6" t="s">
        <v>289</v>
      </c>
      <c r="C65" s="6" t="s">
        <v>290</v>
      </c>
      <c r="D65" s="6" t="s">
        <v>291</v>
      </c>
      <c r="E65" s="6"/>
      <c r="F65" s="15" t="s">
        <v>159</v>
      </c>
      <c r="G65" s="14"/>
      <c r="H65" s="6" t="s">
        <v>160</v>
      </c>
      <c r="I65" s="6" t="s">
        <v>292</v>
      </c>
    </row>
    <row r="66" customFormat="false" ht="28.5" hidden="false" customHeight="true" outlineLevel="0" collapsed="false">
      <c r="A66" s="17" t="s">
        <v>155</v>
      </c>
      <c r="B66" s="6" t="s">
        <v>293</v>
      </c>
      <c r="C66" s="6" t="s">
        <v>294</v>
      </c>
      <c r="D66" s="6" t="s">
        <v>177</v>
      </c>
      <c r="E66" s="6"/>
      <c r="F66" s="15" t="s">
        <v>159</v>
      </c>
      <c r="G66" s="14"/>
      <c r="H66" s="6" t="s">
        <v>160</v>
      </c>
      <c r="I66" s="6" t="s">
        <v>199</v>
      </c>
    </row>
    <row r="67" customFormat="false" ht="28.5" hidden="false" customHeight="true" outlineLevel="0" collapsed="false">
      <c r="A67" s="17" t="s">
        <v>155</v>
      </c>
      <c r="B67" s="6" t="s">
        <v>295</v>
      </c>
      <c r="C67" s="6" t="s">
        <v>296</v>
      </c>
      <c r="D67" s="6" t="s">
        <v>174</v>
      </c>
      <c r="E67" s="6"/>
      <c r="F67" s="15" t="s">
        <v>159</v>
      </c>
      <c r="G67" s="14"/>
      <c r="H67" s="6" t="s">
        <v>160</v>
      </c>
      <c r="I67" s="6" t="s">
        <v>199</v>
      </c>
    </row>
    <row r="68" customFormat="false" ht="28.5" hidden="false" customHeight="true" outlineLevel="0" collapsed="false">
      <c r="A68" s="17" t="s">
        <v>155</v>
      </c>
      <c r="B68" s="6" t="s">
        <v>297</v>
      </c>
      <c r="C68" s="6" t="s">
        <v>298</v>
      </c>
      <c r="D68" s="6" t="s">
        <v>299</v>
      </c>
      <c r="E68" s="6"/>
      <c r="F68" s="15" t="s">
        <v>159</v>
      </c>
      <c r="G68" s="14"/>
      <c r="H68" s="8" t="s">
        <v>300</v>
      </c>
      <c r="I68" s="6" t="s">
        <v>301</v>
      </c>
    </row>
  </sheetData>
  <autoFilter ref="A3:I68"/>
  <mergeCells count="2">
    <mergeCell ref="A1:I1"/>
    <mergeCell ref="A2:I2"/>
  </mergeCells>
  <conditionalFormatting sqref="F4:F68">
    <cfRule type="expression" priority="2" aboveAverage="0" equalAverage="0" bottom="0" percent="0" rank="0" text="" dxfId="10">
      <formula>F4="已截止"</formula>
    </cfRule>
    <cfRule type="expression" priority="3" aboveAverage="0" equalAverage="0" bottom="0" percent="0" rank="0" text="" dxfId="11">
      <formula>OR(F4="今日截止",F4="7天内截止")</formula>
    </cfRule>
    <cfRule type="expression" priority="4" aboveAverage="0" equalAverage="0" bottom="0" percent="0" rank="0" text="" dxfId="12">
      <formula>F4="进行中"</formula>
    </cfRule>
    <cfRule type="expression" priority="5" aboveAverage="0" equalAverage="0" bottom="0" percent="0" rank="0" text="" dxfId="13">
      <formula>LEFT(F4,3)="已启动"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8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34"/>
    <col collapsed="false" customWidth="true" hidden="false" outlineLevel="0" max="16" min="16" style="0" width="28"/>
  </cols>
  <sheetData>
    <row r="1" customFormat="false" ht="24" hidden="false" customHeight="true" outlineLevel="0" collapsed="false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18" t="s">
        <v>303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customFormat="false" ht="30" hidden="false" customHeight="true" outlineLevel="0" collapsed="false">
      <c r="A3" s="5" t="s">
        <v>304</v>
      </c>
      <c r="B3" s="5" t="s">
        <v>31</v>
      </c>
      <c r="C3" s="5" t="s">
        <v>305</v>
      </c>
      <c r="D3" s="5" t="s">
        <v>67</v>
      </c>
      <c r="E3" s="5" t="s">
        <v>306</v>
      </c>
      <c r="F3" s="5" t="s">
        <v>307</v>
      </c>
      <c r="G3" s="5" t="s">
        <v>308</v>
      </c>
      <c r="H3" s="5" t="s">
        <v>309</v>
      </c>
      <c r="I3" s="5" t="s">
        <v>310</v>
      </c>
      <c r="J3" s="5" t="s">
        <v>311</v>
      </c>
      <c r="K3" s="5" t="s">
        <v>70</v>
      </c>
      <c r="L3" s="5" t="s">
        <v>312</v>
      </c>
      <c r="M3" s="5" t="s">
        <v>72</v>
      </c>
      <c r="N3" s="5" t="s">
        <v>313</v>
      </c>
      <c r="O3" s="5" t="s">
        <v>314</v>
      </c>
      <c r="P3" s="5" t="s">
        <v>11</v>
      </c>
    </row>
    <row r="4" customFormat="false" ht="42" hidden="false" customHeight="true" outlineLevel="0" collapsed="false">
      <c r="A4" s="7" t="n">
        <v>1</v>
      </c>
      <c r="B4" s="6" t="s">
        <v>35</v>
      </c>
      <c r="C4" s="6" t="s">
        <v>157</v>
      </c>
      <c r="D4" s="6" t="s">
        <v>315</v>
      </c>
      <c r="E4" s="6" t="s">
        <v>316</v>
      </c>
      <c r="F4" s="6" t="s">
        <v>317</v>
      </c>
      <c r="G4" s="6" t="s">
        <v>318</v>
      </c>
      <c r="H4" s="6" t="s">
        <v>319</v>
      </c>
      <c r="I4" s="6" t="s">
        <v>320</v>
      </c>
      <c r="J4" s="8" t="s">
        <v>321</v>
      </c>
      <c r="K4" s="12" t="n">
        <v>46299</v>
      </c>
      <c r="L4" s="15" t="str">
        <f aca="true">IF(K4&lt;TODAY(),"已截止",IF(K4=TODAY(),"今日截止",IF(K4-TODAY()&lt;=7,"7天内截止","进行中")))</f>
        <v>已截止</v>
      </c>
      <c r="M4" s="14" t="n">
        <f aca="true">IF(ISNUMBER(K4),K4-TODAY(),"")</f>
        <v>-16</v>
      </c>
      <c r="N4" s="13" t="s">
        <v>322</v>
      </c>
      <c r="O4" s="6" t="s">
        <v>323</v>
      </c>
      <c r="P4" s="6" t="s">
        <v>324</v>
      </c>
    </row>
    <row r="5" customFormat="false" ht="28.5" hidden="false" customHeight="true" outlineLevel="0" collapsed="false">
      <c r="A5" s="7" t="n">
        <v>2</v>
      </c>
      <c r="B5" s="6" t="s">
        <v>35</v>
      </c>
      <c r="C5" s="6" t="s">
        <v>325</v>
      </c>
      <c r="D5" s="6" t="s">
        <v>326</v>
      </c>
      <c r="E5" s="6" t="s">
        <v>316</v>
      </c>
      <c r="F5" s="6" t="s">
        <v>317</v>
      </c>
      <c r="G5" s="6" t="s">
        <v>327</v>
      </c>
      <c r="H5" s="6" t="s">
        <v>328</v>
      </c>
      <c r="I5" s="6" t="s">
        <v>104</v>
      </c>
      <c r="J5" s="8" t="s">
        <v>329</v>
      </c>
      <c r="K5" s="12" t="n">
        <v>46321</v>
      </c>
      <c r="L5" s="15" t="str">
        <f aca="true">IF(K5&lt;TODAY(),"已截止",IF(K5=TODAY(),"今日截止",IF(K5-TODAY()&lt;=7,"7天内截止","进行中")))</f>
        <v>7天内截止</v>
      </c>
      <c r="M5" s="14" t="n">
        <f aca="true">IF(ISNUMBER(K5),K5-TODAY(),"")</f>
        <v>6</v>
      </c>
      <c r="N5" s="13" t="s">
        <v>322</v>
      </c>
      <c r="O5" s="6" t="s">
        <v>330</v>
      </c>
      <c r="P5" s="6" t="s">
        <v>324</v>
      </c>
    </row>
    <row r="6" customFormat="false" ht="28.5" hidden="false" customHeight="true" outlineLevel="0" collapsed="false">
      <c r="A6" s="7" t="n">
        <v>3</v>
      </c>
      <c r="B6" s="6" t="s">
        <v>35</v>
      </c>
      <c r="C6" s="6" t="s">
        <v>157</v>
      </c>
      <c r="D6" s="6" t="s">
        <v>331</v>
      </c>
      <c r="E6" s="6" t="s">
        <v>332</v>
      </c>
      <c r="F6" s="6" t="s">
        <v>317</v>
      </c>
      <c r="G6" s="6" t="s">
        <v>333</v>
      </c>
      <c r="H6" s="6" t="s">
        <v>334</v>
      </c>
      <c r="I6" s="6" t="s">
        <v>335</v>
      </c>
      <c r="J6" s="8" t="s">
        <v>336</v>
      </c>
      <c r="K6" s="6"/>
      <c r="L6" s="15" t="s">
        <v>89</v>
      </c>
      <c r="M6" s="14"/>
      <c r="N6" s="13" t="s">
        <v>322</v>
      </c>
      <c r="O6" s="6" t="s">
        <v>337</v>
      </c>
      <c r="P6" s="6" t="s">
        <v>338</v>
      </c>
    </row>
    <row r="7" customFormat="false" ht="28.5" hidden="false" customHeight="true" outlineLevel="0" collapsed="false">
      <c r="A7" s="7" t="n">
        <v>4</v>
      </c>
      <c r="B7" s="6" t="s">
        <v>35</v>
      </c>
      <c r="C7" s="6" t="s">
        <v>339</v>
      </c>
      <c r="D7" s="6" t="s">
        <v>340</v>
      </c>
      <c r="E7" s="6" t="s">
        <v>341</v>
      </c>
      <c r="F7" s="6" t="s">
        <v>342</v>
      </c>
      <c r="G7" s="6" t="s">
        <v>343</v>
      </c>
      <c r="H7" s="6" t="s">
        <v>328</v>
      </c>
      <c r="I7" s="6" t="s">
        <v>344</v>
      </c>
      <c r="J7" s="8" t="s">
        <v>345</v>
      </c>
      <c r="K7" s="6"/>
      <c r="L7" s="15" t="s">
        <v>89</v>
      </c>
      <c r="M7" s="14"/>
      <c r="N7" s="13" t="s">
        <v>322</v>
      </c>
      <c r="O7" s="6" t="s">
        <v>346</v>
      </c>
      <c r="P7" s="6" t="s">
        <v>324</v>
      </c>
    </row>
    <row r="8" customFormat="false" ht="28.5" hidden="false" customHeight="true" outlineLevel="0" collapsed="false">
      <c r="A8" s="7" t="n">
        <v>5</v>
      </c>
      <c r="B8" s="6" t="s">
        <v>35</v>
      </c>
      <c r="C8" s="6" t="s">
        <v>347</v>
      </c>
      <c r="D8" s="6" t="s">
        <v>348</v>
      </c>
      <c r="E8" s="6" t="s">
        <v>349</v>
      </c>
      <c r="F8" s="6" t="s">
        <v>342</v>
      </c>
      <c r="G8" s="8" t="s">
        <v>350</v>
      </c>
      <c r="H8" s="6" t="s">
        <v>328</v>
      </c>
      <c r="I8" s="6" t="s">
        <v>351</v>
      </c>
      <c r="J8" s="8" t="s">
        <v>352</v>
      </c>
      <c r="K8" s="6"/>
      <c r="L8" s="15" t="s">
        <v>89</v>
      </c>
      <c r="M8" s="14"/>
      <c r="N8" s="13" t="s">
        <v>322</v>
      </c>
      <c r="O8" s="6" t="s">
        <v>353</v>
      </c>
      <c r="P8" s="6" t="s">
        <v>354</v>
      </c>
    </row>
    <row r="9" customFormat="false" ht="28.5" hidden="false" customHeight="true" outlineLevel="0" collapsed="false">
      <c r="A9" s="7" t="n">
        <v>6</v>
      </c>
      <c r="B9" s="6" t="s">
        <v>35</v>
      </c>
      <c r="C9" s="6" t="s">
        <v>355</v>
      </c>
      <c r="D9" s="6" t="s">
        <v>356</v>
      </c>
      <c r="E9" s="6" t="s">
        <v>357</v>
      </c>
      <c r="F9" s="6" t="s">
        <v>358</v>
      </c>
      <c r="G9" s="6" t="s">
        <v>359</v>
      </c>
      <c r="H9" s="6" t="s">
        <v>360</v>
      </c>
      <c r="I9" s="8" t="s">
        <v>361</v>
      </c>
      <c r="J9" s="8" t="s">
        <v>362</v>
      </c>
      <c r="K9" s="6"/>
      <c r="L9" s="15" t="s">
        <v>89</v>
      </c>
      <c r="M9" s="14"/>
      <c r="N9" s="13" t="s">
        <v>322</v>
      </c>
      <c r="O9" s="6" t="s">
        <v>363</v>
      </c>
      <c r="P9" s="6" t="s">
        <v>324</v>
      </c>
    </row>
    <row r="10" customFormat="false" ht="28.5" hidden="false" customHeight="true" outlineLevel="0" collapsed="false">
      <c r="A10" s="7" t="n">
        <v>7</v>
      </c>
      <c r="B10" s="6" t="s">
        <v>35</v>
      </c>
      <c r="C10" s="6" t="s">
        <v>364</v>
      </c>
      <c r="D10" s="6" t="s">
        <v>365</v>
      </c>
      <c r="E10" s="6" t="s">
        <v>341</v>
      </c>
      <c r="F10" s="6" t="s">
        <v>342</v>
      </c>
      <c r="G10" s="6" t="s">
        <v>366</v>
      </c>
      <c r="H10" s="6" t="s">
        <v>367</v>
      </c>
      <c r="I10" s="6" t="s">
        <v>368</v>
      </c>
      <c r="J10" s="8" t="s">
        <v>369</v>
      </c>
      <c r="K10" s="6"/>
      <c r="L10" s="15" t="s">
        <v>89</v>
      </c>
      <c r="M10" s="14"/>
      <c r="N10" s="13" t="s">
        <v>370</v>
      </c>
      <c r="O10" s="6" t="s">
        <v>371</v>
      </c>
      <c r="P10" s="6" t="s">
        <v>324</v>
      </c>
    </row>
    <row r="11" customFormat="false" ht="28.5" hidden="false" customHeight="true" outlineLevel="0" collapsed="false">
      <c r="A11" s="7" t="n">
        <v>8</v>
      </c>
      <c r="B11" s="6" t="s">
        <v>35</v>
      </c>
      <c r="C11" s="6" t="s">
        <v>157</v>
      </c>
      <c r="D11" s="6" t="s">
        <v>372</v>
      </c>
      <c r="E11" s="6" t="s">
        <v>373</v>
      </c>
      <c r="F11" s="6" t="s">
        <v>342</v>
      </c>
      <c r="G11" s="8" t="s">
        <v>374</v>
      </c>
      <c r="H11" s="6" t="s">
        <v>328</v>
      </c>
      <c r="I11" s="6" t="s">
        <v>375</v>
      </c>
      <c r="J11" s="8" t="s">
        <v>376</v>
      </c>
      <c r="K11" s="12" t="n">
        <v>46300</v>
      </c>
      <c r="L11" s="15" t="str">
        <f aca="true">IF(K11&lt;TODAY(),"已截止",IF(K11=TODAY(),"今日截止",IF(K11-TODAY()&lt;=7,"7天内截止","进行中")))</f>
        <v>已截止</v>
      </c>
      <c r="M11" s="14" t="n">
        <f aca="true">IF(ISNUMBER(K11),K11-TODAY(),"")</f>
        <v>-15</v>
      </c>
      <c r="N11" s="13" t="s">
        <v>370</v>
      </c>
      <c r="O11" s="6" t="s">
        <v>377</v>
      </c>
      <c r="P11" s="6" t="s">
        <v>324</v>
      </c>
    </row>
    <row r="12" customFormat="false" ht="28.5" hidden="false" customHeight="true" outlineLevel="0" collapsed="false">
      <c r="A12" s="7" t="n">
        <v>9</v>
      </c>
      <c r="B12" s="6" t="s">
        <v>35</v>
      </c>
      <c r="C12" s="6" t="s">
        <v>378</v>
      </c>
      <c r="D12" s="6" t="s">
        <v>379</v>
      </c>
      <c r="E12" s="6" t="s">
        <v>380</v>
      </c>
      <c r="F12" s="6" t="s">
        <v>317</v>
      </c>
      <c r="G12" s="8" t="s">
        <v>381</v>
      </c>
      <c r="H12" s="6" t="s">
        <v>328</v>
      </c>
      <c r="I12" s="6" t="s">
        <v>129</v>
      </c>
      <c r="J12" s="8" t="s">
        <v>382</v>
      </c>
      <c r="K12" s="12" t="n">
        <v>46341</v>
      </c>
      <c r="L12" s="15" t="str">
        <f aca="true">IF(K12&lt;TODAY(),"已截止",IF(K12=TODAY(),"今日截止",IF(K12-TODAY()&lt;=7,"7天内截止","进行中")))</f>
        <v>进行中</v>
      </c>
      <c r="M12" s="14" t="n">
        <f aca="true">IF(ISNUMBER(K12),K12-TODAY(),"")</f>
        <v>26</v>
      </c>
      <c r="N12" s="13" t="s">
        <v>370</v>
      </c>
      <c r="O12" s="6" t="s">
        <v>383</v>
      </c>
      <c r="P12" s="6" t="s">
        <v>324</v>
      </c>
    </row>
    <row r="13" customFormat="false" ht="42" hidden="false" customHeight="true" outlineLevel="0" collapsed="false">
      <c r="A13" s="7" t="n">
        <v>10</v>
      </c>
      <c r="B13" s="6" t="s">
        <v>35</v>
      </c>
      <c r="C13" s="6" t="s">
        <v>166</v>
      </c>
      <c r="D13" s="6" t="s">
        <v>384</v>
      </c>
      <c r="E13" s="6" t="s">
        <v>385</v>
      </c>
      <c r="F13" s="6" t="s">
        <v>358</v>
      </c>
      <c r="G13" s="6" t="s">
        <v>386</v>
      </c>
      <c r="H13" s="6" t="s">
        <v>387</v>
      </c>
      <c r="I13" s="6" t="s">
        <v>388</v>
      </c>
      <c r="J13" s="6" t="s">
        <v>389</v>
      </c>
      <c r="K13" s="12" t="n">
        <v>46507</v>
      </c>
      <c r="L13" s="15" t="str">
        <f aca="true">IF(K13&lt;TODAY(),"已截止",IF(K13=TODAY(),"今日截止",IF(K13-TODAY()&lt;=7,"7天内截止","进行中")))</f>
        <v>进行中</v>
      </c>
      <c r="M13" s="14" t="n">
        <f aca="true">IF(ISNUMBER(K13),K13-TODAY(),"")</f>
        <v>192</v>
      </c>
      <c r="N13" s="13" t="s">
        <v>370</v>
      </c>
      <c r="O13" s="6" t="s">
        <v>390</v>
      </c>
      <c r="P13" s="6" t="s">
        <v>391</v>
      </c>
    </row>
    <row r="14" customFormat="false" ht="55.5" hidden="false" customHeight="true" outlineLevel="0" collapsed="false">
      <c r="A14" s="7" t="n">
        <v>11</v>
      </c>
      <c r="B14" s="6" t="s">
        <v>37</v>
      </c>
      <c r="C14" s="6" t="s">
        <v>87</v>
      </c>
      <c r="D14" s="6" t="s">
        <v>86</v>
      </c>
      <c r="E14" s="6" t="s">
        <v>392</v>
      </c>
      <c r="F14" s="6" t="s">
        <v>317</v>
      </c>
      <c r="G14" s="6" t="s">
        <v>88</v>
      </c>
      <c r="H14" s="6" t="s">
        <v>393</v>
      </c>
      <c r="I14" s="8" t="s">
        <v>90</v>
      </c>
      <c r="J14" s="8" t="s">
        <v>394</v>
      </c>
      <c r="K14" s="6"/>
      <c r="L14" s="15" t="s">
        <v>89</v>
      </c>
      <c r="M14" s="14"/>
      <c r="N14" s="13" t="s">
        <v>395</v>
      </c>
      <c r="O14" s="6" t="s">
        <v>91</v>
      </c>
      <c r="P14" s="6" t="s">
        <v>396</v>
      </c>
    </row>
    <row r="15" customFormat="false" ht="28.5" hidden="false" customHeight="true" outlineLevel="0" collapsed="false">
      <c r="A15" s="7" t="n">
        <v>12</v>
      </c>
      <c r="B15" s="6" t="s">
        <v>37</v>
      </c>
      <c r="C15" s="6" t="s">
        <v>82</v>
      </c>
      <c r="D15" s="6" t="s">
        <v>81</v>
      </c>
      <c r="E15" s="6" t="s">
        <v>397</v>
      </c>
      <c r="F15" s="6" t="s">
        <v>342</v>
      </c>
      <c r="G15" s="6" t="s">
        <v>83</v>
      </c>
      <c r="H15" s="6" t="s">
        <v>398</v>
      </c>
      <c r="I15" s="6" t="s">
        <v>84</v>
      </c>
      <c r="J15" s="8" t="s">
        <v>399</v>
      </c>
      <c r="K15" s="12" t="n">
        <v>46318</v>
      </c>
      <c r="L15" s="15" t="str">
        <f aca="true">IF(K15&lt;TODAY(),"已截止",IF(K15=TODAY(),"今日截止",IF(K15-TODAY()&lt;=7,"7天内截止","进行中")))</f>
        <v>7天内截止</v>
      </c>
      <c r="M15" s="14" t="n">
        <f aca="true">IF(ISNUMBER(K15),K15-TODAY(),"")</f>
        <v>3</v>
      </c>
      <c r="N15" s="13" t="s">
        <v>395</v>
      </c>
      <c r="O15" s="6" t="s">
        <v>85</v>
      </c>
      <c r="P15" s="6" t="s">
        <v>400</v>
      </c>
    </row>
    <row r="16" customFormat="false" ht="28.5" hidden="false" customHeight="true" outlineLevel="0" collapsed="false">
      <c r="A16" s="7" t="n">
        <v>13</v>
      </c>
      <c r="B16" s="6" t="s">
        <v>37</v>
      </c>
      <c r="C16" s="6" t="s">
        <v>93</v>
      </c>
      <c r="D16" s="6" t="s">
        <v>92</v>
      </c>
      <c r="E16" s="6" t="s">
        <v>401</v>
      </c>
      <c r="F16" s="6" t="s">
        <v>402</v>
      </c>
      <c r="G16" s="6" t="s">
        <v>94</v>
      </c>
      <c r="H16" s="6" t="s">
        <v>403</v>
      </c>
      <c r="I16" s="6" t="s">
        <v>95</v>
      </c>
      <c r="J16" s="8" t="s">
        <v>404</v>
      </c>
      <c r="K16" s="6"/>
      <c r="L16" s="15" t="s">
        <v>89</v>
      </c>
      <c r="M16" s="14"/>
      <c r="N16" s="13" t="s">
        <v>395</v>
      </c>
      <c r="O16" s="6" t="s">
        <v>96</v>
      </c>
      <c r="P16" s="6" t="s">
        <v>324</v>
      </c>
    </row>
    <row r="17" customFormat="false" ht="42" hidden="false" customHeight="true" outlineLevel="0" collapsed="false">
      <c r="A17" s="7" t="n">
        <v>14</v>
      </c>
      <c r="B17" s="6" t="s">
        <v>37</v>
      </c>
      <c r="C17" s="6" t="s">
        <v>151</v>
      </c>
      <c r="D17" s="6" t="s">
        <v>150</v>
      </c>
      <c r="E17" s="6" t="s">
        <v>405</v>
      </c>
      <c r="F17" s="6" t="s">
        <v>358</v>
      </c>
      <c r="G17" s="6" t="s">
        <v>152</v>
      </c>
      <c r="H17" s="6" t="s">
        <v>328</v>
      </c>
      <c r="I17" s="6" t="s">
        <v>153</v>
      </c>
      <c r="J17" s="8" t="s">
        <v>406</v>
      </c>
      <c r="K17" s="12" t="n">
        <v>46302</v>
      </c>
      <c r="L17" s="15" t="str">
        <f aca="true">IF(K17&lt;TODAY(),"已截止",IF(K17=TODAY(),"今日截止",IF(K17-TODAY()&lt;=7,"7天内截止","进行中")))</f>
        <v>已截止</v>
      </c>
      <c r="M17" s="14" t="n">
        <f aca="true">IF(ISNUMBER(K17),K17-TODAY(),"")</f>
        <v>-13</v>
      </c>
      <c r="N17" s="13" t="s">
        <v>395</v>
      </c>
      <c r="O17" s="6" t="s">
        <v>154</v>
      </c>
      <c r="P17" s="6" t="s">
        <v>324</v>
      </c>
    </row>
    <row r="18" customFormat="false" ht="28.5" hidden="false" customHeight="true" outlineLevel="0" collapsed="false">
      <c r="A18" s="7" t="n">
        <v>15</v>
      </c>
      <c r="B18" s="6" t="s">
        <v>37</v>
      </c>
      <c r="C18" s="6" t="s">
        <v>407</v>
      </c>
      <c r="D18" s="6" t="s">
        <v>408</v>
      </c>
      <c r="E18" s="6" t="s">
        <v>392</v>
      </c>
      <c r="F18" s="6" t="s">
        <v>317</v>
      </c>
      <c r="G18" s="6" t="s">
        <v>409</v>
      </c>
      <c r="H18" s="6" t="s">
        <v>410</v>
      </c>
      <c r="I18" s="6" t="s">
        <v>411</v>
      </c>
      <c r="J18" s="8" t="s">
        <v>412</v>
      </c>
      <c r="K18" s="12" t="n">
        <v>46336</v>
      </c>
      <c r="L18" s="15" t="str">
        <f aca="true">IF(K18&lt;TODAY(),"已截止",IF(K18=TODAY(),"今日截止",IF(K18-TODAY()&lt;=7,"7天内截止","进行中")))</f>
        <v>进行中</v>
      </c>
      <c r="M18" s="14" t="n">
        <f aca="true">IF(ISNUMBER(K18),K18-TODAY(),"")</f>
        <v>21</v>
      </c>
      <c r="N18" s="13" t="s">
        <v>322</v>
      </c>
      <c r="O18" s="6" t="s">
        <v>413</v>
      </c>
      <c r="P18" s="6" t="s">
        <v>414</v>
      </c>
    </row>
    <row r="19" customFormat="false" ht="28.5" hidden="false" customHeight="true" outlineLevel="0" collapsed="false">
      <c r="A19" s="7" t="n">
        <v>16</v>
      </c>
      <c r="B19" s="6" t="s">
        <v>37</v>
      </c>
      <c r="C19" s="6" t="s">
        <v>415</v>
      </c>
      <c r="D19" s="6" t="s">
        <v>416</v>
      </c>
      <c r="E19" s="6" t="s">
        <v>417</v>
      </c>
      <c r="F19" s="6" t="s">
        <v>317</v>
      </c>
      <c r="G19" s="6" t="s">
        <v>418</v>
      </c>
      <c r="H19" s="6" t="s">
        <v>410</v>
      </c>
      <c r="I19" s="6" t="s">
        <v>419</v>
      </c>
      <c r="J19" s="8" t="s">
        <v>420</v>
      </c>
      <c r="K19" s="6"/>
      <c r="L19" s="15" t="s">
        <v>89</v>
      </c>
      <c r="M19" s="14"/>
      <c r="N19" s="13" t="s">
        <v>322</v>
      </c>
      <c r="O19" s="6" t="s">
        <v>421</v>
      </c>
      <c r="P19" s="6" t="s">
        <v>324</v>
      </c>
    </row>
    <row r="20" customFormat="false" ht="28.5" hidden="false" customHeight="true" outlineLevel="0" collapsed="false">
      <c r="A20" s="7" t="n">
        <v>17</v>
      </c>
      <c r="B20" s="6" t="s">
        <v>37</v>
      </c>
      <c r="C20" s="6" t="s">
        <v>422</v>
      </c>
      <c r="D20" s="6" t="s">
        <v>423</v>
      </c>
      <c r="E20" s="6" t="s">
        <v>424</v>
      </c>
      <c r="F20" s="6" t="s">
        <v>317</v>
      </c>
      <c r="G20" s="6" t="s">
        <v>425</v>
      </c>
      <c r="H20" s="6" t="s">
        <v>426</v>
      </c>
      <c r="I20" s="6" t="s">
        <v>427</v>
      </c>
      <c r="J20" s="8" t="s">
        <v>428</v>
      </c>
      <c r="K20" s="6"/>
      <c r="L20" s="15" t="s">
        <v>89</v>
      </c>
      <c r="M20" s="14"/>
      <c r="N20" s="13" t="s">
        <v>322</v>
      </c>
      <c r="O20" s="6" t="s">
        <v>429</v>
      </c>
      <c r="P20" s="6" t="s">
        <v>324</v>
      </c>
    </row>
    <row r="21" customFormat="false" ht="42" hidden="false" customHeight="true" outlineLevel="0" collapsed="false">
      <c r="A21" s="7" t="n">
        <v>18</v>
      </c>
      <c r="B21" s="6" t="s">
        <v>37</v>
      </c>
      <c r="C21" s="6" t="s">
        <v>93</v>
      </c>
      <c r="D21" s="6" t="s">
        <v>430</v>
      </c>
      <c r="E21" s="6" t="s">
        <v>431</v>
      </c>
      <c r="F21" s="6" t="s">
        <v>317</v>
      </c>
      <c r="G21" s="6" t="s">
        <v>432</v>
      </c>
      <c r="H21" s="6" t="s">
        <v>328</v>
      </c>
      <c r="I21" s="6" t="s">
        <v>433</v>
      </c>
      <c r="J21" s="8" t="s">
        <v>434</v>
      </c>
      <c r="K21" s="6"/>
      <c r="L21" s="15" t="s">
        <v>89</v>
      </c>
      <c r="M21" s="14"/>
      <c r="N21" s="13" t="s">
        <v>322</v>
      </c>
      <c r="O21" s="6" t="s">
        <v>435</v>
      </c>
      <c r="P21" s="6" t="s">
        <v>324</v>
      </c>
    </row>
    <row r="22" customFormat="false" ht="28.5" hidden="false" customHeight="true" outlineLevel="0" collapsed="false">
      <c r="A22" s="7" t="n">
        <v>19</v>
      </c>
      <c r="B22" s="6" t="s">
        <v>37</v>
      </c>
      <c r="C22" s="6" t="s">
        <v>436</v>
      </c>
      <c r="D22" s="6" t="s">
        <v>437</v>
      </c>
      <c r="E22" s="6" t="s">
        <v>431</v>
      </c>
      <c r="F22" s="6" t="s">
        <v>317</v>
      </c>
      <c r="G22" s="6" t="s">
        <v>438</v>
      </c>
      <c r="H22" s="6" t="s">
        <v>328</v>
      </c>
      <c r="I22" s="6" t="s">
        <v>104</v>
      </c>
      <c r="J22" s="8" t="s">
        <v>439</v>
      </c>
      <c r="K22" s="6"/>
      <c r="L22" s="15" t="s">
        <v>89</v>
      </c>
      <c r="M22" s="14"/>
      <c r="N22" s="13" t="s">
        <v>322</v>
      </c>
      <c r="O22" s="6" t="s">
        <v>440</v>
      </c>
      <c r="P22" s="6" t="s">
        <v>324</v>
      </c>
    </row>
    <row r="23" customFormat="false" ht="42" hidden="false" customHeight="true" outlineLevel="0" collapsed="false">
      <c r="A23" s="7" t="n">
        <v>20</v>
      </c>
      <c r="B23" s="6" t="s">
        <v>37</v>
      </c>
      <c r="C23" s="6" t="s">
        <v>93</v>
      </c>
      <c r="D23" s="6" t="s">
        <v>441</v>
      </c>
      <c r="E23" s="6" t="s">
        <v>442</v>
      </c>
      <c r="F23" s="6" t="s">
        <v>317</v>
      </c>
      <c r="G23" s="6" t="s">
        <v>443</v>
      </c>
      <c r="H23" s="6" t="s">
        <v>444</v>
      </c>
      <c r="I23" s="6" t="s">
        <v>445</v>
      </c>
      <c r="J23" s="8" t="s">
        <v>446</v>
      </c>
      <c r="K23" s="6"/>
      <c r="L23" s="15" t="s">
        <v>89</v>
      </c>
      <c r="M23" s="14"/>
      <c r="N23" s="13" t="s">
        <v>322</v>
      </c>
      <c r="O23" s="6" t="s">
        <v>447</v>
      </c>
      <c r="P23" s="6" t="s">
        <v>448</v>
      </c>
    </row>
    <row r="24" customFormat="false" ht="28.5" hidden="false" customHeight="true" outlineLevel="0" collapsed="false">
      <c r="A24" s="7" t="n">
        <v>21</v>
      </c>
      <c r="B24" s="6" t="s">
        <v>37</v>
      </c>
      <c r="C24" s="6" t="s">
        <v>93</v>
      </c>
      <c r="D24" s="6" t="s">
        <v>449</v>
      </c>
      <c r="E24" s="6" t="s">
        <v>450</v>
      </c>
      <c r="F24" s="6" t="s">
        <v>317</v>
      </c>
      <c r="G24" s="6" t="s">
        <v>451</v>
      </c>
      <c r="H24" s="6" t="s">
        <v>328</v>
      </c>
      <c r="I24" s="6" t="s">
        <v>452</v>
      </c>
      <c r="J24" s="8" t="s">
        <v>453</v>
      </c>
      <c r="K24" s="12" t="n">
        <v>46319</v>
      </c>
      <c r="L24" s="15" t="str">
        <f aca="true">IF(K24&lt;TODAY(),"已截止",IF(K24=TODAY(),"今日截止",IF(K24-TODAY()&lt;=7,"7天内截止","进行中")))</f>
        <v>7天内截止</v>
      </c>
      <c r="M24" s="14" t="n">
        <f aca="true">IF(ISNUMBER(K24),K24-TODAY(),"")</f>
        <v>4</v>
      </c>
      <c r="N24" s="13" t="s">
        <v>322</v>
      </c>
      <c r="O24" s="6" t="s">
        <v>454</v>
      </c>
      <c r="P24" s="6" t="s">
        <v>324</v>
      </c>
    </row>
    <row r="25" customFormat="false" ht="42" hidden="false" customHeight="true" outlineLevel="0" collapsed="false">
      <c r="A25" s="7" t="n">
        <v>22</v>
      </c>
      <c r="B25" s="6" t="s">
        <v>37</v>
      </c>
      <c r="C25" s="6" t="s">
        <v>93</v>
      </c>
      <c r="D25" s="6" t="s">
        <v>455</v>
      </c>
      <c r="E25" s="6" t="s">
        <v>456</v>
      </c>
      <c r="F25" s="6" t="s">
        <v>342</v>
      </c>
      <c r="G25" s="8" t="s">
        <v>457</v>
      </c>
      <c r="H25" s="6" t="s">
        <v>328</v>
      </c>
      <c r="I25" s="6" t="s">
        <v>458</v>
      </c>
      <c r="J25" s="8" t="s">
        <v>459</v>
      </c>
      <c r="K25" s="12" t="n">
        <v>46336</v>
      </c>
      <c r="L25" s="15" t="str">
        <f aca="true">IF(K25&lt;TODAY(),"已截止",IF(K25=TODAY(),"今日截止",IF(K25-TODAY()&lt;=7,"7天内截止","进行中")))</f>
        <v>进行中</v>
      </c>
      <c r="M25" s="14" t="n">
        <f aca="true">IF(ISNUMBER(K25),K25-TODAY(),"")</f>
        <v>21</v>
      </c>
      <c r="N25" s="13" t="s">
        <v>322</v>
      </c>
      <c r="O25" s="6" t="s">
        <v>460</v>
      </c>
      <c r="P25" s="6" t="s">
        <v>324</v>
      </c>
    </row>
    <row r="26" customFormat="false" ht="28.5" hidden="false" customHeight="true" outlineLevel="0" collapsed="false">
      <c r="A26" s="7" t="n">
        <v>23</v>
      </c>
      <c r="B26" s="6" t="s">
        <v>37</v>
      </c>
      <c r="C26" s="6" t="s">
        <v>93</v>
      </c>
      <c r="D26" s="6" t="s">
        <v>461</v>
      </c>
      <c r="E26" s="6" t="s">
        <v>462</v>
      </c>
      <c r="F26" s="6" t="s">
        <v>317</v>
      </c>
      <c r="G26" s="6" t="s">
        <v>463</v>
      </c>
      <c r="H26" s="6" t="s">
        <v>328</v>
      </c>
      <c r="I26" s="6" t="s">
        <v>464</v>
      </c>
      <c r="J26" s="6" t="s">
        <v>465</v>
      </c>
      <c r="K26" s="12" t="n">
        <v>46372</v>
      </c>
      <c r="L26" s="15" t="str">
        <f aca="true">IF(K26&lt;TODAY(),"已截止",IF(K26=TODAY(),"今日截止",IF(K26-TODAY()&lt;=7,"7天内截止","进行中")))</f>
        <v>进行中</v>
      </c>
      <c r="M26" s="14" t="n">
        <f aca="true">IF(ISNUMBER(K26),K26-TODAY(),"")</f>
        <v>57</v>
      </c>
      <c r="N26" s="13" t="s">
        <v>322</v>
      </c>
      <c r="O26" s="6" t="s">
        <v>466</v>
      </c>
      <c r="P26" s="6" t="s">
        <v>324</v>
      </c>
    </row>
    <row r="27" customFormat="false" ht="28.5" hidden="false" customHeight="true" outlineLevel="0" collapsed="false">
      <c r="A27" s="7" t="n">
        <v>24</v>
      </c>
      <c r="B27" s="6" t="s">
        <v>37</v>
      </c>
      <c r="C27" s="6" t="s">
        <v>204</v>
      </c>
      <c r="D27" s="6" t="s">
        <v>467</v>
      </c>
      <c r="E27" s="6" t="s">
        <v>392</v>
      </c>
      <c r="F27" s="6" t="s">
        <v>317</v>
      </c>
      <c r="G27" s="6" t="s">
        <v>468</v>
      </c>
      <c r="H27" s="6" t="s">
        <v>469</v>
      </c>
      <c r="I27" s="6" t="s">
        <v>470</v>
      </c>
      <c r="J27" s="8" t="s">
        <v>471</v>
      </c>
      <c r="K27" s="6"/>
      <c r="L27" s="15" t="s">
        <v>89</v>
      </c>
      <c r="M27" s="14"/>
      <c r="N27" s="13" t="s">
        <v>322</v>
      </c>
      <c r="O27" s="6" t="s">
        <v>472</v>
      </c>
      <c r="P27" s="6" t="s">
        <v>473</v>
      </c>
    </row>
    <row r="28" customFormat="false" ht="28.5" hidden="false" customHeight="true" outlineLevel="0" collapsed="false">
      <c r="A28" s="7" t="n">
        <v>25</v>
      </c>
      <c r="B28" s="6" t="s">
        <v>37</v>
      </c>
      <c r="C28" s="6" t="s">
        <v>474</v>
      </c>
      <c r="D28" s="6" t="s">
        <v>475</v>
      </c>
      <c r="E28" s="6" t="s">
        <v>476</v>
      </c>
      <c r="F28" s="6" t="s">
        <v>317</v>
      </c>
      <c r="G28" s="6" t="s">
        <v>477</v>
      </c>
      <c r="H28" s="6" t="s">
        <v>328</v>
      </c>
      <c r="I28" s="6" t="s">
        <v>478</v>
      </c>
      <c r="J28" s="8" t="s">
        <v>479</v>
      </c>
      <c r="K28" s="6"/>
      <c r="L28" s="15" t="s">
        <v>89</v>
      </c>
      <c r="M28" s="14"/>
      <c r="N28" s="13" t="s">
        <v>322</v>
      </c>
      <c r="O28" s="6" t="s">
        <v>480</v>
      </c>
      <c r="P28" s="6" t="s">
        <v>354</v>
      </c>
    </row>
    <row r="29" customFormat="false" ht="28.5" hidden="false" customHeight="true" outlineLevel="0" collapsed="false">
      <c r="A29" s="7" t="n">
        <v>26</v>
      </c>
      <c r="B29" s="6" t="s">
        <v>37</v>
      </c>
      <c r="C29" s="6" t="s">
        <v>415</v>
      </c>
      <c r="D29" s="6" t="s">
        <v>481</v>
      </c>
      <c r="E29" s="6" t="s">
        <v>424</v>
      </c>
      <c r="F29" s="6" t="s">
        <v>317</v>
      </c>
      <c r="G29" s="6" t="s">
        <v>482</v>
      </c>
      <c r="H29" s="6" t="s">
        <v>483</v>
      </c>
      <c r="I29" s="6" t="s">
        <v>427</v>
      </c>
      <c r="J29" s="8" t="s">
        <v>484</v>
      </c>
      <c r="K29" s="6"/>
      <c r="L29" s="15" t="s">
        <v>89</v>
      </c>
      <c r="M29" s="14"/>
      <c r="N29" s="13" t="s">
        <v>370</v>
      </c>
      <c r="O29" s="6" t="s">
        <v>485</v>
      </c>
      <c r="P29" s="6" t="s">
        <v>324</v>
      </c>
    </row>
    <row r="30" customFormat="false" ht="28.5" hidden="false" customHeight="true" outlineLevel="0" collapsed="false">
      <c r="A30" s="7" t="n">
        <v>27</v>
      </c>
      <c r="B30" s="6" t="s">
        <v>37</v>
      </c>
      <c r="C30" s="6" t="s">
        <v>204</v>
      </c>
      <c r="D30" s="6" t="s">
        <v>486</v>
      </c>
      <c r="E30" s="6" t="s">
        <v>450</v>
      </c>
      <c r="F30" s="6" t="s">
        <v>317</v>
      </c>
      <c r="G30" s="8" t="s">
        <v>487</v>
      </c>
      <c r="H30" s="6" t="s">
        <v>328</v>
      </c>
      <c r="I30" s="6" t="s">
        <v>452</v>
      </c>
      <c r="J30" s="6" t="s">
        <v>488</v>
      </c>
      <c r="K30" s="6"/>
      <c r="L30" s="15" t="s">
        <v>89</v>
      </c>
      <c r="M30" s="14"/>
      <c r="N30" s="13" t="s">
        <v>370</v>
      </c>
      <c r="O30" s="6" t="s">
        <v>489</v>
      </c>
      <c r="P30" s="6" t="s">
        <v>324</v>
      </c>
    </row>
    <row r="31" customFormat="false" ht="28.5" hidden="false" customHeight="true" outlineLevel="0" collapsed="false">
      <c r="A31" s="7" t="n">
        <v>28</v>
      </c>
      <c r="B31" s="6" t="s">
        <v>37</v>
      </c>
      <c r="C31" s="6" t="s">
        <v>474</v>
      </c>
      <c r="D31" s="6" t="s">
        <v>490</v>
      </c>
      <c r="E31" s="6" t="s">
        <v>491</v>
      </c>
      <c r="F31" s="6" t="s">
        <v>317</v>
      </c>
      <c r="G31" s="6" t="s">
        <v>492</v>
      </c>
      <c r="H31" s="6" t="s">
        <v>493</v>
      </c>
      <c r="I31" s="6" t="s">
        <v>494</v>
      </c>
      <c r="J31" s="8" t="s">
        <v>495</v>
      </c>
      <c r="K31" s="6"/>
      <c r="L31" s="15" t="s">
        <v>89</v>
      </c>
      <c r="M31" s="14"/>
      <c r="N31" s="13" t="s">
        <v>370</v>
      </c>
      <c r="O31" s="6" t="s">
        <v>496</v>
      </c>
      <c r="P31" s="6" t="s">
        <v>324</v>
      </c>
    </row>
    <row r="32" customFormat="false" ht="28.5" hidden="false" customHeight="true" outlineLevel="0" collapsed="false">
      <c r="A32" s="7" t="n">
        <v>29</v>
      </c>
      <c r="B32" s="6" t="s">
        <v>37</v>
      </c>
      <c r="C32" s="6" t="s">
        <v>204</v>
      </c>
      <c r="D32" s="6" t="s">
        <v>497</v>
      </c>
      <c r="E32" s="6" t="s">
        <v>498</v>
      </c>
      <c r="F32" s="6" t="s">
        <v>317</v>
      </c>
      <c r="G32" s="6" t="s">
        <v>499</v>
      </c>
      <c r="H32" s="6" t="s">
        <v>328</v>
      </c>
      <c r="I32" s="6" t="s">
        <v>500</v>
      </c>
      <c r="J32" s="8" t="s">
        <v>321</v>
      </c>
      <c r="K32" s="12" t="n">
        <v>46299</v>
      </c>
      <c r="L32" s="15" t="str">
        <f aca="true">IF(K32&lt;TODAY(),"已截止",IF(K32=TODAY(),"今日截止",IF(K32-TODAY()&lt;=7,"7天内截止","进行中")))</f>
        <v>已截止</v>
      </c>
      <c r="M32" s="14" t="n">
        <f aca="true">IF(ISNUMBER(K32),K32-TODAY(),"")</f>
        <v>-16</v>
      </c>
      <c r="N32" s="13" t="s">
        <v>370</v>
      </c>
      <c r="O32" s="6" t="s">
        <v>501</v>
      </c>
      <c r="P32" s="6" t="s">
        <v>324</v>
      </c>
    </row>
    <row r="33" customFormat="false" ht="28.5" hidden="false" customHeight="true" outlineLevel="0" collapsed="false">
      <c r="A33" s="7" t="n">
        <v>30</v>
      </c>
      <c r="B33" s="6" t="s">
        <v>37</v>
      </c>
      <c r="C33" s="6" t="s">
        <v>502</v>
      </c>
      <c r="D33" s="6" t="s">
        <v>503</v>
      </c>
      <c r="E33" s="6" t="s">
        <v>504</v>
      </c>
      <c r="F33" s="6" t="s">
        <v>317</v>
      </c>
      <c r="G33" s="6" t="s">
        <v>505</v>
      </c>
      <c r="H33" s="6" t="s">
        <v>506</v>
      </c>
      <c r="I33" s="6" t="s">
        <v>507</v>
      </c>
      <c r="J33" s="8" t="s">
        <v>508</v>
      </c>
      <c r="K33" s="6"/>
      <c r="L33" s="15" t="s">
        <v>89</v>
      </c>
      <c r="M33" s="14"/>
      <c r="N33" s="13" t="s">
        <v>370</v>
      </c>
      <c r="O33" s="6" t="s">
        <v>509</v>
      </c>
      <c r="P33" s="6" t="s">
        <v>324</v>
      </c>
    </row>
    <row r="34" customFormat="false" ht="28.5" hidden="false" customHeight="true" outlineLevel="0" collapsed="false">
      <c r="A34" s="7" t="n">
        <v>31</v>
      </c>
      <c r="B34" s="6" t="s">
        <v>37</v>
      </c>
      <c r="C34" s="6" t="s">
        <v>510</v>
      </c>
      <c r="D34" s="6" t="s">
        <v>511</v>
      </c>
      <c r="E34" s="6" t="s">
        <v>385</v>
      </c>
      <c r="F34" s="6" t="s">
        <v>358</v>
      </c>
      <c r="G34" s="8" t="s">
        <v>512</v>
      </c>
      <c r="H34" s="6" t="s">
        <v>328</v>
      </c>
      <c r="I34" s="6" t="s">
        <v>513</v>
      </c>
      <c r="J34" s="8" t="s">
        <v>514</v>
      </c>
      <c r="K34" s="12" t="n">
        <v>46347</v>
      </c>
      <c r="L34" s="15" t="str">
        <f aca="true">IF(K34&lt;TODAY(),"已截止",IF(K34=TODAY(),"今日截止",IF(K34-TODAY()&lt;=7,"7天内截止","进行中")))</f>
        <v>进行中</v>
      </c>
      <c r="M34" s="14" t="n">
        <f aca="true">IF(ISNUMBER(K34),K34-TODAY(),"")</f>
        <v>32</v>
      </c>
      <c r="N34" s="13" t="s">
        <v>370</v>
      </c>
      <c r="O34" s="6" t="s">
        <v>515</v>
      </c>
      <c r="P34" s="6" t="s">
        <v>324</v>
      </c>
    </row>
    <row r="35" customFormat="false" ht="42" hidden="false" customHeight="true" outlineLevel="0" collapsed="false">
      <c r="A35" s="7" t="n">
        <v>32</v>
      </c>
      <c r="B35" s="6" t="s">
        <v>38</v>
      </c>
      <c r="C35" s="6" t="s">
        <v>98</v>
      </c>
      <c r="D35" s="6" t="s">
        <v>97</v>
      </c>
      <c r="E35" s="6" t="s">
        <v>516</v>
      </c>
      <c r="F35" s="6" t="s">
        <v>342</v>
      </c>
      <c r="G35" s="6" t="s">
        <v>99</v>
      </c>
      <c r="H35" s="6" t="s">
        <v>517</v>
      </c>
      <c r="I35" s="6" t="s">
        <v>100</v>
      </c>
      <c r="J35" s="8" t="s">
        <v>495</v>
      </c>
      <c r="K35" s="6"/>
      <c r="L35" s="15" t="s">
        <v>89</v>
      </c>
      <c r="M35" s="14"/>
      <c r="N35" s="13" t="s">
        <v>395</v>
      </c>
      <c r="O35" s="6" t="s">
        <v>101</v>
      </c>
      <c r="P35" s="6" t="s">
        <v>324</v>
      </c>
    </row>
    <row r="36" customFormat="false" ht="28.5" hidden="false" customHeight="true" outlineLevel="0" collapsed="false">
      <c r="A36" s="7" t="n">
        <v>33</v>
      </c>
      <c r="B36" s="6" t="s">
        <v>38</v>
      </c>
      <c r="C36" s="6" t="s">
        <v>38</v>
      </c>
      <c r="D36" s="6" t="s">
        <v>146</v>
      </c>
      <c r="E36" s="6" t="s">
        <v>518</v>
      </c>
      <c r="F36" s="6" t="s">
        <v>519</v>
      </c>
      <c r="G36" s="6" t="s">
        <v>147</v>
      </c>
      <c r="H36" s="6" t="s">
        <v>520</v>
      </c>
      <c r="I36" s="8" t="s">
        <v>148</v>
      </c>
      <c r="J36" s="8" t="s">
        <v>521</v>
      </c>
      <c r="K36" s="12" t="n">
        <v>46293</v>
      </c>
      <c r="L36" s="15" t="str">
        <f aca="true">IF(K36&lt;TODAY(),"已截止",IF(K36=TODAY(),"今日截止",IF(K36-TODAY()&lt;=7,"7天内截止","进行中")))</f>
        <v>已截止</v>
      </c>
      <c r="M36" s="14" t="n">
        <f aca="true">IF(ISNUMBER(K36),K36-TODAY(),"")</f>
        <v>-22</v>
      </c>
      <c r="N36" s="13" t="s">
        <v>395</v>
      </c>
      <c r="O36" s="6" t="s">
        <v>149</v>
      </c>
      <c r="P36" s="6" t="s">
        <v>324</v>
      </c>
    </row>
    <row r="37" customFormat="false" ht="28.5" hidden="false" customHeight="true" outlineLevel="0" collapsed="false">
      <c r="A37" s="7" t="n">
        <v>34</v>
      </c>
      <c r="B37" s="6" t="s">
        <v>38</v>
      </c>
      <c r="C37" s="6" t="s">
        <v>38</v>
      </c>
      <c r="D37" s="6" t="s">
        <v>102</v>
      </c>
      <c r="E37" s="6" t="s">
        <v>522</v>
      </c>
      <c r="F37" s="6" t="s">
        <v>317</v>
      </c>
      <c r="G37" s="6" t="s">
        <v>103</v>
      </c>
      <c r="H37" s="6" t="s">
        <v>523</v>
      </c>
      <c r="I37" s="6" t="s">
        <v>104</v>
      </c>
      <c r="J37" s="8" t="s">
        <v>524</v>
      </c>
      <c r="K37" s="6"/>
      <c r="L37" s="15" t="s">
        <v>89</v>
      </c>
      <c r="M37" s="14"/>
      <c r="N37" s="13" t="s">
        <v>395</v>
      </c>
      <c r="O37" s="6" t="s">
        <v>105</v>
      </c>
      <c r="P37" s="6" t="s">
        <v>525</v>
      </c>
    </row>
    <row r="38" customFormat="false" ht="28.5" hidden="false" customHeight="true" outlineLevel="0" collapsed="false">
      <c r="A38" s="7" t="n">
        <v>35</v>
      </c>
      <c r="B38" s="6" t="s">
        <v>38</v>
      </c>
      <c r="C38" s="6" t="s">
        <v>38</v>
      </c>
      <c r="D38" s="6" t="s">
        <v>135</v>
      </c>
      <c r="E38" s="6" t="s">
        <v>526</v>
      </c>
      <c r="F38" s="6" t="s">
        <v>317</v>
      </c>
      <c r="G38" s="6" t="s">
        <v>136</v>
      </c>
      <c r="H38" s="6" t="s">
        <v>527</v>
      </c>
      <c r="I38" s="6" t="s">
        <v>129</v>
      </c>
      <c r="J38" s="8" t="s">
        <v>528</v>
      </c>
      <c r="K38" s="12" t="n">
        <v>46236</v>
      </c>
      <c r="L38" s="15" t="str">
        <f aca="true">IF(K38&lt;TODAY(),"已截止",IF(K38=TODAY(),"今日截止",IF(K38-TODAY()&lt;=7,"7天内截止","进行中")))</f>
        <v>已截止</v>
      </c>
      <c r="M38" s="14" t="n">
        <f aca="true">IF(ISNUMBER(K38),K38-TODAY(),"")</f>
        <v>-79</v>
      </c>
      <c r="N38" s="13" t="s">
        <v>395</v>
      </c>
      <c r="O38" s="6" t="s">
        <v>137</v>
      </c>
      <c r="P38" s="6" t="s">
        <v>324</v>
      </c>
    </row>
    <row r="39" customFormat="false" ht="28.5" hidden="false" customHeight="true" outlineLevel="0" collapsed="false">
      <c r="A39" s="7" t="n">
        <v>36</v>
      </c>
      <c r="B39" s="6" t="s">
        <v>38</v>
      </c>
      <c r="C39" s="6" t="s">
        <v>38</v>
      </c>
      <c r="D39" s="6" t="s">
        <v>529</v>
      </c>
      <c r="E39" s="6" t="s">
        <v>530</v>
      </c>
      <c r="F39" s="6" t="s">
        <v>342</v>
      </c>
      <c r="G39" s="6" t="s">
        <v>531</v>
      </c>
      <c r="H39" s="6" t="s">
        <v>328</v>
      </c>
      <c r="I39" s="6" t="s">
        <v>129</v>
      </c>
      <c r="J39" s="8" t="s">
        <v>532</v>
      </c>
      <c r="K39" s="12" t="n">
        <v>46314</v>
      </c>
      <c r="L39" s="15" t="str">
        <f aca="true">IF(K39&lt;TODAY(),"已截止",IF(K39=TODAY(),"今日截止",IF(K39-TODAY()&lt;=7,"7天内截止","进行中")))</f>
        <v>已截止</v>
      </c>
      <c r="M39" s="14" t="n">
        <f aca="true">IF(ISNUMBER(K39),K39-TODAY(),"")</f>
        <v>-1</v>
      </c>
      <c r="N39" s="13" t="s">
        <v>322</v>
      </c>
      <c r="O39" s="6" t="s">
        <v>533</v>
      </c>
      <c r="P39" s="6" t="s">
        <v>534</v>
      </c>
    </row>
    <row r="40" customFormat="false" ht="28.5" hidden="false" customHeight="true" outlineLevel="0" collapsed="false">
      <c r="A40" s="7" t="n">
        <v>37</v>
      </c>
      <c r="B40" s="6" t="s">
        <v>38</v>
      </c>
      <c r="C40" s="6" t="s">
        <v>38</v>
      </c>
      <c r="D40" s="6" t="s">
        <v>535</v>
      </c>
      <c r="E40" s="6" t="s">
        <v>516</v>
      </c>
      <c r="F40" s="6" t="s">
        <v>342</v>
      </c>
      <c r="G40" s="6" t="s">
        <v>536</v>
      </c>
      <c r="H40" s="6" t="s">
        <v>328</v>
      </c>
      <c r="I40" s="6" t="s">
        <v>537</v>
      </c>
      <c r="J40" s="8" t="s">
        <v>538</v>
      </c>
      <c r="K40" s="6"/>
      <c r="L40" s="15" t="s">
        <v>89</v>
      </c>
      <c r="M40" s="14"/>
      <c r="N40" s="13" t="s">
        <v>322</v>
      </c>
      <c r="O40" s="6" t="s">
        <v>539</v>
      </c>
      <c r="P40" s="6" t="s">
        <v>324</v>
      </c>
    </row>
    <row r="41" customFormat="false" ht="28.5" hidden="false" customHeight="true" outlineLevel="0" collapsed="false">
      <c r="A41" s="7" t="n">
        <v>38</v>
      </c>
      <c r="B41" s="6" t="s">
        <v>38</v>
      </c>
      <c r="C41" s="6" t="s">
        <v>38</v>
      </c>
      <c r="D41" s="6" t="s">
        <v>540</v>
      </c>
      <c r="E41" s="6" t="s">
        <v>522</v>
      </c>
      <c r="F41" s="6" t="s">
        <v>317</v>
      </c>
      <c r="G41" s="6" t="s">
        <v>541</v>
      </c>
      <c r="H41" s="6" t="s">
        <v>328</v>
      </c>
      <c r="I41" s="6" t="s">
        <v>542</v>
      </c>
      <c r="J41" s="8" t="s">
        <v>420</v>
      </c>
      <c r="K41" s="6"/>
      <c r="L41" s="15" t="s">
        <v>89</v>
      </c>
      <c r="M41" s="14"/>
      <c r="N41" s="13" t="s">
        <v>322</v>
      </c>
      <c r="O41" s="6" t="s">
        <v>543</v>
      </c>
      <c r="P41" s="6" t="s">
        <v>324</v>
      </c>
    </row>
    <row r="42" customFormat="false" ht="28.5" hidden="false" customHeight="true" outlineLevel="0" collapsed="false">
      <c r="A42" s="7" t="n">
        <v>39</v>
      </c>
      <c r="B42" s="6" t="s">
        <v>38</v>
      </c>
      <c r="C42" s="6" t="s">
        <v>38</v>
      </c>
      <c r="D42" s="6" t="s">
        <v>544</v>
      </c>
      <c r="E42" s="6" t="s">
        <v>316</v>
      </c>
      <c r="F42" s="6" t="s">
        <v>317</v>
      </c>
      <c r="G42" s="6" t="s">
        <v>545</v>
      </c>
      <c r="H42" s="6" t="s">
        <v>328</v>
      </c>
      <c r="I42" s="6" t="s">
        <v>104</v>
      </c>
      <c r="J42" s="8" t="s">
        <v>546</v>
      </c>
      <c r="K42" s="12" t="n">
        <v>46298</v>
      </c>
      <c r="L42" s="15" t="str">
        <f aca="true">IF(K42&lt;TODAY(),"已截止",IF(K42=TODAY(),"今日截止",IF(K42-TODAY()&lt;=7,"7天内截止","进行中")))</f>
        <v>已截止</v>
      </c>
      <c r="M42" s="14" t="n">
        <f aca="true">IF(ISNUMBER(K42),K42-TODAY(),"")</f>
        <v>-17</v>
      </c>
      <c r="N42" s="13" t="s">
        <v>322</v>
      </c>
      <c r="O42" s="6" t="s">
        <v>130</v>
      </c>
      <c r="P42" s="6" t="s">
        <v>324</v>
      </c>
    </row>
    <row r="43" customFormat="false" ht="28.5" hidden="false" customHeight="true" outlineLevel="0" collapsed="false">
      <c r="A43" s="7" t="n">
        <v>40</v>
      </c>
      <c r="B43" s="6" t="s">
        <v>38</v>
      </c>
      <c r="C43" s="6" t="s">
        <v>38</v>
      </c>
      <c r="D43" s="6" t="s">
        <v>547</v>
      </c>
      <c r="E43" s="6" t="s">
        <v>316</v>
      </c>
      <c r="F43" s="6" t="s">
        <v>317</v>
      </c>
      <c r="G43" s="6" t="s">
        <v>548</v>
      </c>
      <c r="H43" s="6" t="s">
        <v>328</v>
      </c>
      <c r="I43" s="6" t="s">
        <v>104</v>
      </c>
      <c r="J43" s="8" t="s">
        <v>376</v>
      </c>
      <c r="K43" s="12" t="n">
        <v>46300</v>
      </c>
      <c r="L43" s="15" t="str">
        <f aca="true">IF(K43&lt;TODAY(),"已截止",IF(K43=TODAY(),"今日截止",IF(K43-TODAY()&lt;=7,"7天内截止","进行中")))</f>
        <v>已截止</v>
      </c>
      <c r="M43" s="14" t="n">
        <f aca="true">IF(ISNUMBER(K43),K43-TODAY(),"")</f>
        <v>-15</v>
      </c>
      <c r="N43" s="13" t="s">
        <v>322</v>
      </c>
      <c r="O43" s="6" t="s">
        <v>549</v>
      </c>
      <c r="P43" s="6" t="s">
        <v>324</v>
      </c>
    </row>
    <row r="44" customFormat="false" ht="28.5" hidden="false" customHeight="true" outlineLevel="0" collapsed="false">
      <c r="A44" s="7" t="n">
        <v>41</v>
      </c>
      <c r="B44" s="6" t="s">
        <v>38</v>
      </c>
      <c r="C44" s="6" t="s">
        <v>38</v>
      </c>
      <c r="D44" s="6" t="s">
        <v>550</v>
      </c>
      <c r="E44" s="6" t="s">
        <v>551</v>
      </c>
      <c r="F44" s="6" t="s">
        <v>317</v>
      </c>
      <c r="G44" s="6" t="s">
        <v>552</v>
      </c>
      <c r="H44" s="6" t="s">
        <v>553</v>
      </c>
      <c r="I44" s="6" t="s">
        <v>129</v>
      </c>
      <c r="J44" s="8" t="s">
        <v>524</v>
      </c>
      <c r="K44" s="6"/>
      <c r="L44" s="15" t="s">
        <v>89</v>
      </c>
      <c r="M44" s="14"/>
      <c r="N44" s="13" t="s">
        <v>322</v>
      </c>
      <c r="O44" s="6" t="s">
        <v>554</v>
      </c>
      <c r="P44" s="6" t="s">
        <v>525</v>
      </c>
    </row>
    <row r="45" customFormat="false" ht="28.5" hidden="false" customHeight="true" outlineLevel="0" collapsed="false">
      <c r="A45" s="7" t="n">
        <v>42</v>
      </c>
      <c r="B45" s="6" t="s">
        <v>38</v>
      </c>
      <c r="C45" s="6" t="s">
        <v>38</v>
      </c>
      <c r="D45" s="6" t="s">
        <v>555</v>
      </c>
      <c r="E45" s="6" t="s">
        <v>462</v>
      </c>
      <c r="F45" s="6" t="s">
        <v>317</v>
      </c>
      <c r="G45" s="8" t="s">
        <v>556</v>
      </c>
      <c r="H45" s="6" t="s">
        <v>557</v>
      </c>
      <c r="I45" s="6" t="s">
        <v>558</v>
      </c>
      <c r="J45" s="8" t="s">
        <v>559</v>
      </c>
      <c r="K45" s="6"/>
      <c r="L45" s="15" t="s">
        <v>89</v>
      </c>
      <c r="M45" s="14"/>
      <c r="N45" s="13" t="s">
        <v>322</v>
      </c>
      <c r="O45" s="6" t="s">
        <v>560</v>
      </c>
      <c r="P45" s="6" t="s">
        <v>561</v>
      </c>
    </row>
    <row r="46" customFormat="false" ht="28.5" hidden="false" customHeight="true" outlineLevel="0" collapsed="false">
      <c r="A46" s="7" t="n">
        <v>43</v>
      </c>
      <c r="B46" s="6" t="s">
        <v>38</v>
      </c>
      <c r="C46" s="6" t="s">
        <v>562</v>
      </c>
      <c r="D46" s="6" t="s">
        <v>563</v>
      </c>
      <c r="E46" s="6" t="s">
        <v>564</v>
      </c>
      <c r="F46" s="6" t="s">
        <v>317</v>
      </c>
      <c r="G46" s="6" t="s">
        <v>565</v>
      </c>
      <c r="H46" s="6" t="s">
        <v>328</v>
      </c>
      <c r="I46" s="6" t="s">
        <v>129</v>
      </c>
      <c r="J46" s="8" t="s">
        <v>566</v>
      </c>
      <c r="K46" s="12" t="n">
        <v>46327</v>
      </c>
      <c r="L46" s="15" t="str">
        <f aca="true">IF(K46&lt;TODAY(),"已截止",IF(K46=TODAY(),"今日截止",IF(K46-TODAY()&lt;=7,"7天内截止","进行中")))</f>
        <v>进行中</v>
      </c>
      <c r="M46" s="14" t="n">
        <f aca="true">IF(ISNUMBER(K46),K46-TODAY(),"")</f>
        <v>12</v>
      </c>
      <c r="N46" s="13" t="s">
        <v>322</v>
      </c>
      <c r="O46" s="6" t="s">
        <v>567</v>
      </c>
      <c r="P46" s="6" t="s">
        <v>568</v>
      </c>
    </row>
    <row r="47" customFormat="false" ht="28.5" hidden="false" customHeight="true" outlineLevel="0" collapsed="false">
      <c r="A47" s="7" t="n">
        <v>44</v>
      </c>
      <c r="B47" s="6" t="s">
        <v>38</v>
      </c>
      <c r="C47" s="6" t="s">
        <v>38</v>
      </c>
      <c r="D47" s="6" t="s">
        <v>569</v>
      </c>
      <c r="E47" s="6" t="s">
        <v>518</v>
      </c>
      <c r="F47" s="6" t="s">
        <v>519</v>
      </c>
      <c r="G47" s="6" t="s">
        <v>570</v>
      </c>
      <c r="H47" s="6" t="s">
        <v>523</v>
      </c>
      <c r="I47" s="6" t="s">
        <v>129</v>
      </c>
      <c r="J47" s="6" t="s">
        <v>571</v>
      </c>
      <c r="K47" s="12" t="n">
        <v>46334</v>
      </c>
      <c r="L47" s="15" t="str">
        <f aca="true">IF(K47&lt;TODAY(),"已截止",IF(K47=TODAY(),"今日截止",IF(K47-TODAY()&lt;=7,"7天内截止","进行中")))</f>
        <v>进行中</v>
      </c>
      <c r="M47" s="14" t="n">
        <f aca="true">IF(ISNUMBER(K47),K47-TODAY(),"")</f>
        <v>19</v>
      </c>
      <c r="N47" s="13" t="s">
        <v>370</v>
      </c>
      <c r="O47" s="6" t="s">
        <v>572</v>
      </c>
      <c r="P47" s="6" t="s">
        <v>324</v>
      </c>
    </row>
    <row r="48" customFormat="false" ht="28.5" hidden="false" customHeight="true" outlineLevel="0" collapsed="false">
      <c r="A48" s="7" t="n">
        <v>45</v>
      </c>
      <c r="B48" s="6" t="s">
        <v>38</v>
      </c>
      <c r="C48" s="6" t="s">
        <v>38</v>
      </c>
      <c r="D48" s="6" t="s">
        <v>573</v>
      </c>
      <c r="E48" s="6" t="s">
        <v>516</v>
      </c>
      <c r="F48" s="6" t="s">
        <v>342</v>
      </c>
      <c r="G48" s="8" t="s">
        <v>574</v>
      </c>
      <c r="H48" s="6" t="s">
        <v>328</v>
      </c>
      <c r="I48" s="6" t="s">
        <v>129</v>
      </c>
      <c r="J48" s="6" t="s">
        <v>575</v>
      </c>
      <c r="K48" s="12" t="n">
        <v>46321</v>
      </c>
      <c r="L48" s="15" t="str">
        <f aca="true">IF(K48&lt;TODAY(),"已截止",IF(K48=TODAY(),"今日截止",IF(K48-TODAY()&lt;=7,"7天内截止","进行中")))</f>
        <v>7天内截止</v>
      </c>
      <c r="M48" s="14" t="n">
        <f aca="true">IF(ISNUMBER(K48),K48-TODAY(),"")</f>
        <v>6</v>
      </c>
      <c r="N48" s="13" t="s">
        <v>370</v>
      </c>
      <c r="O48" s="6" t="s">
        <v>576</v>
      </c>
      <c r="P48" s="6" t="s">
        <v>354</v>
      </c>
    </row>
    <row r="49" customFormat="false" ht="28.5" hidden="false" customHeight="true" outlineLevel="0" collapsed="false">
      <c r="A49" s="7" t="n">
        <v>46</v>
      </c>
      <c r="B49" s="6" t="s">
        <v>38</v>
      </c>
      <c r="C49" s="6" t="s">
        <v>577</v>
      </c>
      <c r="D49" s="6" t="s">
        <v>578</v>
      </c>
      <c r="E49" s="6" t="s">
        <v>579</v>
      </c>
      <c r="F49" s="6" t="s">
        <v>317</v>
      </c>
      <c r="G49" s="6" t="s">
        <v>443</v>
      </c>
      <c r="H49" s="6" t="s">
        <v>328</v>
      </c>
      <c r="I49" s="6" t="s">
        <v>129</v>
      </c>
      <c r="J49" s="8" t="s">
        <v>580</v>
      </c>
      <c r="K49" s="12" t="n">
        <v>46330</v>
      </c>
      <c r="L49" s="15" t="str">
        <f aca="true">IF(K49&lt;TODAY(),"已截止",IF(K49=TODAY(),"今日截止",IF(K49-TODAY()&lt;=7,"7天内截止","进行中")))</f>
        <v>进行中</v>
      </c>
      <c r="M49" s="14" t="n">
        <f aca="true">IF(ISNUMBER(K49),K49-TODAY(),"")</f>
        <v>15</v>
      </c>
      <c r="N49" s="13" t="s">
        <v>370</v>
      </c>
      <c r="O49" s="6" t="s">
        <v>581</v>
      </c>
      <c r="P49" s="6" t="s">
        <v>324</v>
      </c>
    </row>
    <row r="50" customFormat="false" ht="42" hidden="false" customHeight="true" outlineLevel="0" collapsed="false">
      <c r="A50" s="7" t="n">
        <v>47</v>
      </c>
      <c r="B50" s="6" t="s">
        <v>39</v>
      </c>
      <c r="C50" s="6" t="s">
        <v>582</v>
      </c>
      <c r="D50" s="6" t="s">
        <v>583</v>
      </c>
      <c r="E50" s="6" t="s">
        <v>316</v>
      </c>
      <c r="F50" s="6" t="s">
        <v>317</v>
      </c>
      <c r="G50" s="6" t="s">
        <v>584</v>
      </c>
      <c r="H50" s="8" t="s">
        <v>585</v>
      </c>
      <c r="I50" s="6" t="s">
        <v>104</v>
      </c>
      <c r="J50" s="8" t="s">
        <v>586</v>
      </c>
      <c r="K50" s="12" t="n">
        <v>46331</v>
      </c>
      <c r="L50" s="15" t="str">
        <f aca="true">IF(K50&lt;TODAY(),"已截止",IF(K50=TODAY(),"今日截止",IF(K50-TODAY()&lt;=7,"7天内截止","进行中")))</f>
        <v>进行中</v>
      </c>
      <c r="M50" s="14" t="n">
        <f aca="true">IF(ISNUMBER(K50),K50-TODAY(),"")</f>
        <v>16</v>
      </c>
      <c r="N50" s="13" t="s">
        <v>322</v>
      </c>
      <c r="O50" s="6" t="s">
        <v>587</v>
      </c>
      <c r="P50" s="6" t="s">
        <v>324</v>
      </c>
    </row>
    <row r="51" customFormat="false" ht="42" hidden="false" customHeight="true" outlineLevel="0" collapsed="false">
      <c r="A51" s="7" t="n">
        <v>48</v>
      </c>
      <c r="B51" s="6" t="s">
        <v>39</v>
      </c>
      <c r="C51" s="6" t="s">
        <v>588</v>
      </c>
      <c r="D51" s="6" t="s">
        <v>589</v>
      </c>
      <c r="E51" s="6" t="s">
        <v>590</v>
      </c>
      <c r="F51" s="6" t="s">
        <v>342</v>
      </c>
      <c r="G51" s="6" t="s">
        <v>591</v>
      </c>
      <c r="H51" s="6" t="s">
        <v>328</v>
      </c>
      <c r="I51" s="6" t="s">
        <v>592</v>
      </c>
      <c r="J51" s="8" t="s">
        <v>593</v>
      </c>
      <c r="K51" s="6"/>
      <c r="L51" s="15" t="s">
        <v>89</v>
      </c>
      <c r="M51" s="14"/>
      <c r="N51" s="13" t="s">
        <v>322</v>
      </c>
      <c r="O51" s="6" t="s">
        <v>594</v>
      </c>
      <c r="P51" s="6" t="s">
        <v>324</v>
      </c>
    </row>
    <row r="52" customFormat="false" ht="28.5" hidden="false" customHeight="true" outlineLevel="0" collapsed="false">
      <c r="A52" s="7" t="n">
        <v>49</v>
      </c>
      <c r="B52" s="6" t="s">
        <v>39</v>
      </c>
      <c r="C52" s="6" t="s">
        <v>233</v>
      </c>
      <c r="D52" s="6" t="s">
        <v>595</v>
      </c>
      <c r="E52" s="6" t="s">
        <v>462</v>
      </c>
      <c r="F52" s="6" t="s">
        <v>317</v>
      </c>
      <c r="G52" s="6" t="s">
        <v>596</v>
      </c>
      <c r="H52" s="6" t="s">
        <v>527</v>
      </c>
      <c r="I52" s="6" t="s">
        <v>464</v>
      </c>
      <c r="J52" s="8" t="s">
        <v>597</v>
      </c>
      <c r="K52" s="6"/>
      <c r="L52" s="15" t="s">
        <v>89</v>
      </c>
      <c r="M52" s="14"/>
      <c r="N52" s="13" t="s">
        <v>322</v>
      </c>
      <c r="O52" s="6" t="s">
        <v>598</v>
      </c>
      <c r="P52" s="6" t="s">
        <v>324</v>
      </c>
    </row>
    <row r="53" customFormat="false" ht="28.5" hidden="false" customHeight="true" outlineLevel="0" collapsed="false">
      <c r="A53" s="7" t="n">
        <v>50</v>
      </c>
      <c r="B53" s="6" t="s">
        <v>39</v>
      </c>
      <c r="C53" s="6" t="s">
        <v>599</v>
      </c>
      <c r="D53" s="6" t="s">
        <v>600</v>
      </c>
      <c r="E53" s="6" t="s">
        <v>526</v>
      </c>
      <c r="F53" s="6" t="s">
        <v>317</v>
      </c>
      <c r="G53" s="6" t="s">
        <v>443</v>
      </c>
      <c r="H53" s="6" t="s">
        <v>328</v>
      </c>
      <c r="I53" s="6" t="s">
        <v>129</v>
      </c>
      <c r="J53" s="8" t="s">
        <v>601</v>
      </c>
      <c r="K53" s="12" t="n">
        <v>46315</v>
      </c>
      <c r="L53" s="15" t="str">
        <f aca="true">IF(K53&lt;TODAY(),"已截止",IF(K53=TODAY(),"今日截止",IF(K53-TODAY()&lt;=7,"7天内截止","进行中")))</f>
        <v>今日截止</v>
      </c>
      <c r="M53" s="14" t="n">
        <f aca="true">IF(ISNUMBER(K53),K53-TODAY(),"")</f>
        <v>0</v>
      </c>
      <c r="N53" s="13" t="s">
        <v>322</v>
      </c>
      <c r="O53" s="6" t="s">
        <v>602</v>
      </c>
      <c r="P53" s="6" t="s">
        <v>324</v>
      </c>
    </row>
    <row r="54" customFormat="false" ht="28.5" hidden="false" customHeight="true" outlineLevel="0" collapsed="false">
      <c r="A54" s="7" t="n">
        <v>51</v>
      </c>
      <c r="B54" s="6" t="s">
        <v>39</v>
      </c>
      <c r="C54" s="6" t="s">
        <v>233</v>
      </c>
      <c r="D54" s="6" t="s">
        <v>603</v>
      </c>
      <c r="E54" s="6" t="s">
        <v>604</v>
      </c>
      <c r="F54" s="6" t="s">
        <v>342</v>
      </c>
      <c r="G54" s="6" t="s">
        <v>605</v>
      </c>
      <c r="H54" s="6" t="s">
        <v>328</v>
      </c>
      <c r="I54" s="6" t="s">
        <v>129</v>
      </c>
      <c r="J54" s="8" t="s">
        <v>606</v>
      </c>
      <c r="K54" s="12" t="n">
        <v>46340</v>
      </c>
      <c r="L54" s="15" t="str">
        <f aca="true">IF(K54&lt;TODAY(),"已截止",IF(K54=TODAY(),"今日截止",IF(K54-TODAY()&lt;=7,"7天内截止","进行中")))</f>
        <v>进行中</v>
      </c>
      <c r="M54" s="14" t="n">
        <f aca="true">IF(ISNUMBER(K54),K54-TODAY(),"")</f>
        <v>25</v>
      </c>
      <c r="N54" s="13" t="s">
        <v>370</v>
      </c>
      <c r="O54" s="6" t="s">
        <v>607</v>
      </c>
      <c r="P54" s="6" t="s">
        <v>324</v>
      </c>
    </row>
    <row r="55" customFormat="false" ht="42" hidden="false" customHeight="true" outlineLevel="0" collapsed="false">
      <c r="A55" s="7" t="n">
        <v>52</v>
      </c>
      <c r="B55" s="6" t="s">
        <v>40</v>
      </c>
      <c r="C55" s="6" t="s">
        <v>107</v>
      </c>
      <c r="D55" s="6" t="s">
        <v>106</v>
      </c>
      <c r="E55" s="6" t="s">
        <v>608</v>
      </c>
      <c r="F55" s="6" t="s">
        <v>342</v>
      </c>
      <c r="G55" s="6" t="s">
        <v>108</v>
      </c>
      <c r="H55" s="8" t="s">
        <v>609</v>
      </c>
      <c r="I55" s="6" t="s">
        <v>109</v>
      </c>
      <c r="J55" s="8" t="s">
        <v>610</v>
      </c>
      <c r="K55" s="6"/>
      <c r="L55" s="15" t="s">
        <v>89</v>
      </c>
      <c r="M55" s="14"/>
      <c r="N55" s="13" t="s">
        <v>395</v>
      </c>
      <c r="O55" s="6" t="s">
        <v>110</v>
      </c>
      <c r="P55" s="6" t="s">
        <v>324</v>
      </c>
    </row>
    <row r="56" customFormat="false" ht="28.5" hidden="false" customHeight="true" outlineLevel="0" collapsed="false">
      <c r="A56" s="7" t="n">
        <v>53</v>
      </c>
      <c r="B56" s="6" t="s">
        <v>40</v>
      </c>
      <c r="C56" s="6" t="s">
        <v>112</v>
      </c>
      <c r="D56" s="6" t="s">
        <v>111</v>
      </c>
      <c r="E56" s="6" t="s">
        <v>316</v>
      </c>
      <c r="F56" s="6" t="s">
        <v>317</v>
      </c>
      <c r="G56" s="6" t="s">
        <v>113</v>
      </c>
      <c r="H56" s="6" t="s">
        <v>328</v>
      </c>
      <c r="I56" s="6" t="s">
        <v>104</v>
      </c>
      <c r="J56" s="8" t="s">
        <v>611</v>
      </c>
      <c r="K56" s="6"/>
      <c r="L56" s="15" t="s">
        <v>89</v>
      </c>
      <c r="M56" s="14"/>
      <c r="N56" s="13" t="s">
        <v>395</v>
      </c>
      <c r="O56" s="6" t="s">
        <v>114</v>
      </c>
      <c r="P56" s="6" t="s">
        <v>324</v>
      </c>
    </row>
    <row r="57" customFormat="false" ht="28.5" hidden="false" customHeight="true" outlineLevel="0" collapsed="false">
      <c r="A57" s="7" t="n">
        <v>54</v>
      </c>
      <c r="B57" s="6" t="s">
        <v>40</v>
      </c>
      <c r="C57" s="6" t="s">
        <v>116</v>
      </c>
      <c r="D57" s="6" t="s">
        <v>115</v>
      </c>
      <c r="E57" s="6" t="s">
        <v>442</v>
      </c>
      <c r="F57" s="6" t="s">
        <v>317</v>
      </c>
      <c r="G57" s="6" t="s">
        <v>117</v>
      </c>
      <c r="H57" s="6" t="s">
        <v>328</v>
      </c>
      <c r="I57" s="6" t="s">
        <v>118</v>
      </c>
      <c r="J57" s="8" t="s">
        <v>612</v>
      </c>
      <c r="K57" s="6"/>
      <c r="L57" s="15" t="s">
        <v>89</v>
      </c>
      <c r="M57" s="14"/>
      <c r="N57" s="13" t="s">
        <v>395</v>
      </c>
      <c r="O57" s="6" t="s">
        <v>119</v>
      </c>
      <c r="P57" s="6" t="s">
        <v>324</v>
      </c>
    </row>
    <row r="58" customFormat="false" ht="28.5" hidden="false" customHeight="true" outlineLevel="0" collapsed="false">
      <c r="A58" s="7" t="n">
        <v>55</v>
      </c>
      <c r="B58" s="6" t="s">
        <v>40</v>
      </c>
      <c r="C58" s="6" t="s">
        <v>613</v>
      </c>
      <c r="D58" s="6" t="s">
        <v>614</v>
      </c>
      <c r="E58" s="6" t="s">
        <v>608</v>
      </c>
      <c r="F58" s="6" t="s">
        <v>342</v>
      </c>
      <c r="G58" s="6" t="s">
        <v>615</v>
      </c>
      <c r="H58" s="6" t="s">
        <v>328</v>
      </c>
      <c r="I58" s="6" t="s">
        <v>129</v>
      </c>
      <c r="J58" s="8" t="s">
        <v>616</v>
      </c>
      <c r="K58" s="12" t="n">
        <v>46315</v>
      </c>
      <c r="L58" s="15" t="str">
        <f aca="true">IF(K58&lt;TODAY(),"已截止",IF(K58=TODAY(),"今日截止",IF(K58-TODAY()&lt;=7,"7天内截止","进行中")))</f>
        <v>今日截止</v>
      </c>
      <c r="M58" s="14" t="n">
        <f aca="true">IF(ISNUMBER(K58),K58-TODAY(),"")</f>
        <v>0</v>
      </c>
      <c r="N58" s="13" t="s">
        <v>322</v>
      </c>
      <c r="O58" s="6" t="s">
        <v>617</v>
      </c>
      <c r="P58" s="6" t="s">
        <v>324</v>
      </c>
    </row>
    <row r="59" customFormat="false" ht="28.5" hidden="false" customHeight="true" outlineLevel="0" collapsed="false">
      <c r="A59" s="7" t="n">
        <v>56</v>
      </c>
      <c r="B59" s="6" t="s">
        <v>40</v>
      </c>
      <c r="C59" s="6" t="s">
        <v>107</v>
      </c>
      <c r="D59" s="6" t="s">
        <v>618</v>
      </c>
      <c r="E59" s="6" t="s">
        <v>392</v>
      </c>
      <c r="F59" s="6" t="s">
        <v>317</v>
      </c>
      <c r="G59" s="6" t="s">
        <v>619</v>
      </c>
      <c r="H59" s="6" t="s">
        <v>410</v>
      </c>
      <c r="I59" s="6" t="s">
        <v>427</v>
      </c>
      <c r="J59" s="8" t="s">
        <v>620</v>
      </c>
      <c r="K59" s="6"/>
      <c r="L59" s="15" t="s">
        <v>89</v>
      </c>
      <c r="M59" s="14"/>
      <c r="N59" s="13" t="s">
        <v>370</v>
      </c>
      <c r="O59" s="6" t="s">
        <v>621</v>
      </c>
      <c r="P59" s="6" t="s">
        <v>324</v>
      </c>
    </row>
    <row r="60" customFormat="false" ht="28.5" hidden="false" customHeight="true" outlineLevel="0" collapsed="false">
      <c r="A60" s="7" t="n">
        <v>57</v>
      </c>
      <c r="B60" s="6" t="s">
        <v>40</v>
      </c>
      <c r="C60" s="6" t="s">
        <v>622</v>
      </c>
      <c r="D60" s="6" t="s">
        <v>623</v>
      </c>
      <c r="E60" s="6" t="s">
        <v>385</v>
      </c>
      <c r="F60" s="6" t="s">
        <v>358</v>
      </c>
      <c r="G60" s="6" t="s">
        <v>624</v>
      </c>
      <c r="H60" s="6" t="s">
        <v>328</v>
      </c>
      <c r="I60" s="6" t="s">
        <v>129</v>
      </c>
      <c r="J60" s="8" t="s">
        <v>625</v>
      </c>
      <c r="K60" s="12" t="n">
        <v>46294</v>
      </c>
      <c r="L60" s="15" t="str">
        <f aca="true">IF(K60&lt;TODAY(),"已截止",IF(K60=TODAY(),"今日截止",IF(K60-TODAY()&lt;=7,"7天内截止","进行中")))</f>
        <v>已截止</v>
      </c>
      <c r="M60" s="14" t="n">
        <f aca="true">IF(ISNUMBER(K60),K60-TODAY(),"")</f>
        <v>-21</v>
      </c>
      <c r="N60" s="13" t="s">
        <v>370</v>
      </c>
      <c r="O60" s="6" t="s">
        <v>130</v>
      </c>
      <c r="P60" s="6" t="s">
        <v>324</v>
      </c>
    </row>
    <row r="61" customFormat="false" ht="28.5" hidden="false" customHeight="true" outlineLevel="0" collapsed="false">
      <c r="A61" s="7" t="n">
        <v>58</v>
      </c>
      <c r="B61" s="6" t="s">
        <v>41</v>
      </c>
      <c r="C61" s="6" t="s">
        <v>139</v>
      </c>
      <c r="D61" s="6" t="s">
        <v>138</v>
      </c>
      <c r="E61" s="6" t="s">
        <v>442</v>
      </c>
      <c r="F61" s="6" t="s">
        <v>317</v>
      </c>
      <c r="G61" s="6" t="s">
        <v>140</v>
      </c>
      <c r="H61" s="6" t="s">
        <v>626</v>
      </c>
      <c r="I61" s="6" t="s">
        <v>129</v>
      </c>
      <c r="J61" s="8" t="s">
        <v>627</v>
      </c>
      <c r="K61" s="12" t="n">
        <v>46249</v>
      </c>
      <c r="L61" s="15" t="str">
        <f aca="true">IF(K61&lt;TODAY(),"已截止",IF(K61=TODAY(),"今日截止",IF(K61-TODAY()&lt;=7,"7天内截止","进行中")))</f>
        <v>已截止</v>
      </c>
      <c r="M61" s="14" t="n">
        <f aca="true">IF(ISNUMBER(K61),K61-TODAY(),"")</f>
        <v>-66</v>
      </c>
      <c r="N61" s="13" t="s">
        <v>395</v>
      </c>
      <c r="O61" s="6" t="s">
        <v>134</v>
      </c>
      <c r="P61" s="6" t="s">
        <v>628</v>
      </c>
    </row>
    <row r="62" customFormat="false" ht="28.5" hidden="false" customHeight="true" outlineLevel="0" collapsed="false">
      <c r="A62" s="7" t="n">
        <v>59</v>
      </c>
      <c r="B62" s="6" t="s">
        <v>41</v>
      </c>
      <c r="C62" s="6" t="s">
        <v>629</v>
      </c>
      <c r="D62" s="6" t="s">
        <v>630</v>
      </c>
      <c r="E62" s="6" t="s">
        <v>631</v>
      </c>
      <c r="F62" s="6" t="s">
        <v>317</v>
      </c>
      <c r="G62" s="6" t="s">
        <v>443</v>
      </c>
      <c r="H62" s="6" t="s">
        <v>410</v>
      </c>
      <c r="I62" s="6" t="s">
        <v>632</v>
      </c>
      <c r="J62" s="8" t="s">
        <v>633</v>
      </c>
      <c r="K62" s="12" t="n">
        <v>46276</v>
      </c>
      <c r="L62" s="15" t="str">
        <f aca="true">IF(K62&lt;TODAY(),"已截止",IF(K62=TODAY(),"今日截止",IF(K62-TODAY()&lt;=7,"7天内截止","进行中")))</f>
        <v>已截止</v>
      </c>
      <c r="M62" s="14" t="n">
        <f aca="true">IF(ISNUMBER(K62),K62-TODAY(),"")</f>
        <v>-39</v>
      </c>
      <c r="N62" s="13" t="s">
        <v>322</v>
      </c>
      <c r="O62" s="6" t="s">
        <v>130</v>
      </c>
      <c r="P62" s="6" t="s">
        <v>324</v>
      </c>
    </row>
    <row r="63" customFormat="false" ht="28.5" hidden="false" customHeight="true" outlineLevel="0" collapsed="false">
      <c r="A63" s="7" t="n">
        <v>60</v>
      </c>
      <c r="B63" s="6" t="s">
        <v>41</v>
      </c>
      <c r="C63" s="6" t="s">
        <v>634</v>
      </c>
      <c r="D63" s="6" t="s">
        <v>635</v>
      </c>
      <c r="E63" s="6" t="s">
        <v>631</v>
      </c>
      <c r="F63" s="6" t="s">
        <v>317</v>
      </c>
      <c r="G63" s="6" t="s">
        <v>443</v>
      </c>
      <c r="H63" s="6" t="s">
        <v>527</v>
      </c>
      <c r="I63" s="6" t="s">
        <v>632</v>
      </c>
      <c r="J63" s="8" t="s">
        <v>546</v>
      </c>
      <c r="K63" s="12" t="n">
        <v>46298</v>
      </c>
      <c r="L63" s="15" t="str">
        <f aca="true">IF(K63&lt;TODAY(),"已截止",IF(K63=TODAY(),"今日截止",IF(K63-TODAY()&lt;=7,"7天内截止","进行中")))</f>
        <v>已截止</v>
      </c>
      <c r="M63" s="14" t="n">
        <f aca="true">IF(ISNUMBER(K63),K63-TODAY(),"")</f>
        <v>-17</v>
      </c>
      <c r="N63" s="13" t="s">
        <v>322</v>
      </c>
      <c r="O63" s="6" t="s">
        <v>130</v>
      </c>
      <c r="P63" s="6" t="s">
        <v>324</v>
      </c>
    </row>
    <row r="64" customFormat="false" ht="28.5" hidden="false" customHeight="true" outlineLevel="0" collapsed="false">
      <c r="A64" s="7" t="n">
        <v>61</v>
      </c>
      <c r="B64" s="6" t="s">
        <v>41</v>
      </c>
      <c r="C64" s="6" t="s">
        <v>139</v>
      </c>
      <c r="D64" s="6" t="s">
        <v>636</v>
      </c>
      <c r="E64" s="6" t="s">
        <v>442</v>
      </c>
      <c r="F64" s="6" t="s">
        <v>317</v>
      </c>
      <c r="G64" s="6" t="s">
        <v>637</v>
      </c>
      <c r="H64" s="6" t="s">
        <v>328</v>
      </c>
      <c r="I64" s="6" t="s">
        <v>129</v>
      </c>
      <c r="J64" s="8" t="s">
        <v>638</v>
      </c>
      <c r="K64" s="6"/>
      <c r="L64" s="15" t="s">
        <v>639</v>
      </c>
      <c r="M64" s="14"/>
      <c r="N64" s="13" t="s">
        <v>370</v>
      </c>
      <c r="O64" s="6" t="s">
        <v>640</v>
      </c>
      <c r="P64" s="6" t="s">
        <v>324</v>
      </c>
    </row>
    <row r="65" customFormat="false" ht="28.5" hidden="false" customHeight="true" outlineLevel="0" collapsed="false">
      <c r="A65" s="7" t="n">
        <v>62</v>
      </c>
      <c r="B65" s="6" t="s">
        <v>42</v>
      </c>
      <c r="C65" s="6" t="s">
        <v>121</v>
      </c>
      <c r="D65" s="6" t="s">
        <v>120</v>
      </c>
      <c r="E65" s="6" t="s">
        <v>526</v>
      </c>
      <c r="F65" s="6" t="s">
        <v>317</v>
      </c>
      <c r="G65" s="6" t="s">
        <v>122</v>
      </c>
      <c r="H65" s="6" t="s">
        <v>641</v>
      </c>
      <c r="I65" s="6" t="s">
        <v>123</v>
      </c>
      <c r="J65" s="8" t="s">
        <v>642</v>
      </c>
      <c r="K65" s="6"/>
      <c r="L65" s="15" t="s">
        <v>89</v>
      </c>
      <c r="M65" s="14"/>
      <c r="N65" s="13" t="s">
        <v>395</v>
      </c>
      <c r="O65" s="6" t="s">
        <v>124</v>
      </c>
      <c r="P65" s="6" t="s">
        <v>324</v>
      </c>
    </row>
    <row r="66" customFormat="false" ht="42" hidden="false" customHeight="true" outlineLevel="0" collapsed="false">
      <c r="A66" s="7" t="n">
        <v>63</v>
      </c>
      <c r="B66" s="6" t="s">
        <v>42</v>
      </c>
      <c r="C66" s="6" t="s">
        <v>77</v>
      </c>
      <c r="D66" s="6" t="s">
        <v>76</v>
      </c>
      <c r="E66" s="6" t="s">
        <v>564</v>
      </c>
      <c r="F66" s="6" t="s">
        <v>317</v>
      </c>
      <c r="G66" s="6" t="s">
        <v>78</v>
      </c>
      <c r="H66" s="6" t="s">
        <v>643</v>
      </c>
      <c r="I66" s="6" t="s">
        <v>79</v>
      </c>
      <c r="J66" s="8" t="s">
        <v>644</v>
      </c>
      <c r="K66" s="12" t="n">
        <v>46316</v>
      </c>
      <c r="L66" s="15" t="str">
        <f aca="true">IF(K66&lt;TODAY(),"已截止",IF(K66=TODAY(),"今日截止",IF(K66-TODAY()&lt;=7,"7天内截止","进行中")))</f>
        <v>7天内截止</v>
      </c>
      <c r="M66" s="14" t="n">
        <f aca="true">IF(ISNUMBER(K66),K66-TODAY(),"")</f>
        <v>1</v>
      </c>
      <c r="N66" s="13" t="s">
        <v>395</v>
      </c>
      <c r="O66" s="6" t="s">
        <v>80</v>
      </c>
      <c r="P66" s="6" t="s">
        <v>324</v>
      </c>
    </row>
    <row r="67" customFormat="false" ht="42" hidden="false" customHeight="true" outlineLevel="0" collapsed="false">
      <c r="A67" s="7" t="n">
        <v>64</v>
      </c>
      <c r="B67" s="6" t="s">
        <v>42</v>
      </c>
      <c r="C67" s="6" t="s">
        <v>645</v>
      </c>
      <c r="D67" s="6" t="s">
        <v>646</v>
      </c>
      <c r="E67" s="6" t="s">
        <v>522</v>
      </c>
      <c r="F67" s="6" t="s">
        <v>317</v>
      </c>
      <c r="G67" s="6" t="s">
        <v>647</v>
      </c>
      <c r="H67" s="6" t="s">
        <v>328</v>
      </c>
      <c r="I67" s="6" t="s">
        <v>648</v>
      </c>
      <c r="J67" s="8" t="s">
        <v>649</v>
      </c>
      <c r="K67" s="12" t="n">
        <v>46325</v>
      </c>
      <c r="L67" s="15" t="str">
        <f aca="true">IF(K67&lt;TODAY(),"已截止",IF(K67=TODAY(),"今日截止",IF(K67-TODAY()&lt;=7,"7天内截止","进行中")))</f>
        <v>进行中</v>
      </c>
      <c r="M67" s="14" t="n">
        <f aca="true">IF(ISNUMBER(K67),K67-TODAY(),"")</f>
        <v>10</v>
      </c>
      <c r="N67" s="13" t="s">
        <v>322</v>
      </c>
      <c r="O67" s="6" t="s">
        <v>650</v>
      </c>
      <c r="P67" s="6" t="s">
        <v>651</v>
      </c>
    </row>
    <row r="68" customFormat="false" ht="28.5" hidden="false" customHeight="true" outlineLevel="0" collapsed="false">
      <c r="A68" s="7" t="n">
        <v>65</v>
      </c>
      <c r="B68" s="6" t="s">
        <v>42</v>
      </c>
      <c r="C68" s="6" t="s">
        <v>42</v>
      </c>
      <c r="D68" s="6" t="s">
        <v>652</v>
      </c>
      <c r="E68" s="6" t="s">
        <v>653</v>
      </c>
      <c r="F68" s="6" t="s">
        <v>342</v>
      </c>
      <c r="G68" s="6" t="s">
        <v>654</v>
      </c>
      <c r="H68" s="6" t="s">
        <v>328</v>
      </c>
      <c r="I68" s="6" t="s">
        <v>129</v>
      </c>
      <c r="J68" s="8" t="s">
        <v>610</v>
      </c>
      <c r="K68" s="6"/>
      <c r="L68" s="15" t="s">
        <v>89</v>
      </c>
      <c r="M68" s="14"/>
      <c r="N68" s="13" t="s">
        <v>322</v>
      </c>
      <c r="O68" s="6" t="s">
        <v>655</v>
      </c>
      <c r="P68" s="6" t="s">
        <v>324</v>
      </c>
    </row>
    <row r="69" customFormat="false" ht="28.5" hidden="false" customHeight="true" outlineLevel="0" collapsed="false">
      <c r="A69" s="7" t="n">
        <v>66</v>
      </c>
      <c r="B69" s="6" t="s">
        <v>42</v>
      </c>
      <c r="C69" s="6" t="s">
        <v>656</v>
      </c>
      <c r="D69" s="6" t="s">
        <v>657</v>
      </c>
      <c r="E69" s="6" t="s">
        <v>526</v>
      </c>
      <c r="F69" s="6" t="s">
        <v>317</v>
      </c>
      <c r="G69" s="6" t="s">
        <v>443</v>
      </c>
      <c r="H69" s="6" t="s">
        <v>328</v>
      </c>
      <c r="I69" s="6" t="s">
        <v>129</v>
      </c>
      <c r="J69" s="8" t="s">
        <v>658</v>
      </c>
      <c r="K69" s="12" t="n">
        <v>46307</v>
      </c>
      <c r="L69" s="15" t="str">
        <f aca="true">IF(K69&lt;TODAY(),"已截止",IF(K69=TODAY(),"今日截止",IF(K69-TODAY()&lt;=7,"7天内截止","进行中")))</f>
        <v>已截止</v>
      </c>
      <c r="M69" s="14" t="n">
        <f aca="true">IF(ISNUMBER(K69),K69-TODAY(),"")</f>
        <v>-8</v>
      </c>
      <c r="N69" s="13" t="s">
        <v>322</v>
      </c>
      <c r="O69" s="6" t="s">
        <v>130</v>
      </c>
      <c r="P69" s="6" t="s">
        <v>324</v>
      </c>
    </row>
    <row r="70" customFormat="false" ht="42" hidden="false" customHeight="true" outlineLevel="0" collapsed="false">
      <c r="A70" s="7" t="n">
        <v>67</v>
      </c>
      <c r="B70" s="6" t="s">
        <v>43</v>
      </c>
      <c r="C70" s="6" t="s">
        <v>659</v>
      </c>
      <c r="D70" s="6" t="s">
        <v>660</v>
      </c>
      <c r="E70" s="6" t="s">
        <v>661</v>
      </c>
      <c r="F70" s="6" t="s">
        <v>342</v>
      </c>
      <c r="G70" s="6" t="s">
        <v>662</v>
      </c>
      <c r="H70" s="8" t="s">
        <v>663</v>
      </c>
      <c r="I70" s="6" t="s">
        <v>129</v>
      </c>
      <c r="J70" s="8" t="s">
        <v>664</v>
      </c>
      <c r="K70" s="6"/>
      <c r="L70" s="15" t="s">
        <v>89</v>
      </c>
      <c r="M70" s="14"/>
      <c r="N70" s="13" t="s">
        <v>370</v>
      </c>
      <c r="O70" s="6" t="s">
        <v>665</v>
      </c>
      <c r="P70" s="6" t="s">
        <v>666</v>
      </c>
    </row>
    <row r="71" customFormat="false" ht="28.5" hidden="false" customHeight="true" outlineLevel="0" collapsed="false">
      <c r="A71" s="7" t="n">
        <v>68</v>
      </c>
      <c r="B71" s="6" t="s">
        <v>44</v>
      </c>
      <c r="C71" s="6" t="s">
        <v>667</v>
      </c>
      <c r="D71" s="6" t="s">
        <v>668</v>
      </c>
      <c r="E71" s="6" t="s">
        <v>631</v>
      </c>
      <c r="F71" s="6" t="s">
        <v>317</v>
      </c>
      <c r="G71" s="6" t="s">
        <v>443</v>
      </c>
      <c r="H71" s="6" t="s">
        <v>410</v>
      </c>
      <c r="I71" s="6" t="s">
        <v>632</v>
      </c>
      <c r="J71" s="8" t="s">
        <v>649</v>
      </c>
      <c r="K71" s="12" t="n">
        <v>46325</v>
      </c>
      <c r="L71" s="15" t="str">
        <f aca="true">IF(K71&lt;TODAY(),"已截止",IF(K71=TODAY(),"今日截止",IF(K71-TODAY()&lt;=7,"7天内截止","进行中")))</f>
        <v>进行中</v>
      </c>
      <c r="M71" s="14" t="n">
        <f aca="true">IF(ISNUMBER(K71),K71-TODAY(),"")</f>
        <v>10</v>
      </c>
      <c r="N71" s="13" t="s">
        <v>322</v>
      </c>
      <c r="O71" s="6" t="s">
        <v>669</v>
      </c>
      <c r="P71" s="6" t="s">
        <v>324</v>
      </c>
    </row>
    <row r="72" customFormat="false" ht="28.5" hidden="false" customHeight="true" outlineLevel="0" collapsed="false">
      <c r="A72" s="7" t="n">
        <v>69</v>
      </c>
      <c r="B72" s="6" t="s">
        <v>44</v>
      </c>
      <c r="C72" s="6" t="s">
        <v>670</v>
      </c>
      <c r="D72" s="6" t="s">
        <v>671</v>
      </c>
      <c r="E72" s="6" t="s">
        <v>672</v>
      </c>
      <c r="F72" s="6" t="s">
        <v>317</v>
      </c>
      <c r="G72" s="6" t="s">
        <v>673</v>
      </c>
      <c r="H72" s="6" t="s">
        <v>328</v>
      </c>
      <c r="I72" s="6" t="s">
        <v>674</v>
      </c>
      <c r="J72" s="8" t="s">
        <v>675</v>
      </c>
      <c r="K72" s="12" t="n">
        <v>46316</v>
      </c>
      <c r="L72" s="15" t="str">
        <f aca="true">IF(K72&lt;TODAY(),"已截止",IF(K72=TODAY(),"今日截止",IF(K72-TODAY()&lt;=7,"7天内截止","进行中")))</f>
        <v>7天内截止</v>
      </c>
      <c r="M72" s="14" t="n">
        <f aca="true">IF(ISNUMBER(K72),K72-TODAY(),"")</f>
        <v>1</v>
      </c>
      <c r="N72" s="13" t="s">
        <v>322</v>
      </c>
      <c r="O72" s="6" t="s">
        <v>676</v>
      </c>
      <c r="P72" s="6" t="s">
        <v>324</v>
      </c>
    </row>
    <row r="73" customFormat="false" ht="28.5" hidden="false" customHeight="true" outlineLevel="0" collapsed="false">
      <c r="A73" s="7" t="n">
        <v>70</v>
      </c>
      <c r="B73" s="6" t="s">
        <v>44</v>
      </c>
      <c r="C73" s="6" t="s">
        <v>677</v>
      </c>
      <c r="D73" s="6" t="s">
        <v>678</v>
      </c>
      <c r="E73" s="6" t="s">
        <v>672</v>
      </c>
      <c r="F73" s="6" t="s">
        <v>317</v>
      </c>
      <c r="G73" s="6" t="s">
        <v>673</v>
      </c>
      <c r="H73" s="6" t="s">
        <v>328</v>
      </c>
      <c r="I73" s="6" t="s">
        <v>129</v>
      </c>
      <c r="J73" s="8" t="s">
        <v>532</v>
      </c>
      <c r="K73" s="12" t="n">
        <v>46314</v>
      </c>
      <c r="L73" s="15" t="str">
        <f aca="true">IF(K73&lt;TODAY(),"已截止",IF(K73=TODAY(),"今日截止",IF(K73-TODAY()&lt;=7,"7天内截止","进行中")))</f>
        <v>已截止</v>
      </c>
      <c r="M73" s="14" t="n">
        <f aca="true">IF(ISNUMBER(K73),K73-TODAY(),"")</f>
        <v>-1</v>
      </c>
      <c r="N73" s="13" t="s">
        <v>370</v>
      </c>
      <c r="O73" s="6" t="s">
        <v>130</v>
      </c>
      <c r="P73" s="6" t="s">
        <v>324</v>
      </c>
    </row>
    <row r="74" customFormat="false" ht="42" hidden="false" customHeight="true" outlineLevel="0" collapsed="false">
      <c r="A74" s="7" t="n">
        <v>71</v>
      </c>
      <c r="B74" s="6" t="s">
        <v>47</v>
      </c>
      <c r="C74" s="6" t="s">
        <v>142</v>
      </c>
      <c r="D74" s="6" t="s">
        <v>141</v>
      </c>
      <c r="E74" s="6" t="s">
        <v>442</v>
      </c>
      <c r="F74" s="6" t="s">
        <v>317</v>
      </c>
      <c r="G74" s="6" t="s">
        <v>143</v>
      </c>
      <c r="H74" s="6" t="s">
        <v>523</v>
      </c>
      <c r="I74" s="8" t="s">
        <v>144</v>
      </c>
      <c r="J74" s="8" t="s">
        <v>679</v>
      </c>
      <c r="K74" s="12" t="n">
        <v>46274</v>
      </c>
      <c r="L74" s="15" t="str">
        <f aca="true">IF(K74&lt;TODAY(),"已截止",IF(K74=TODAY(),"今日截止",IF(K74-TODAY()&lt;=7,"7天内截止","进行中")))</f>
        <v>已截止</v>
      </c>
      <c r="M74" s="14" t="n">
        <f aca="true">IF(ISNUMBER(K74),K74-TODAY(),"")</f>
        <v>-41</v>
      </c>
      <c r="N74" s="13" t="s">
        <v>395</v>
      </c>
      <c r="O74" s="6" t="s">
        <v>145</v>
      </c>
      <c r="P74" s="6" t="s">
        <v>324</v>
      </c>
    </row>
    <row r="75" customFormat="false" ht="28.5" hidden="false" customHeight="true" outlineLevel="0" collapsed="false">
      <c r="A75" s="7" t="n">
        <v>72</v>
      </c>
      <c r="B75" s="6" t="s">
        <v>47</v>
      </c>
      <c r="C75" s="6" t="s">
        <v>132</v>
      </c>
      <c r="D75" s="6" t="s">
        <v>131</v>
      </c>
      <c r="E75" s="6" t="s">
        <v>526</v>
      </c>
      <c r="F75" s="6" t="s">
        <v>317</v>
      </c>
      <c r="G75" s="6" t="s">
        <v>133</v>
      </c>
      <c r="H75" s="6" t="s">
        <v>523</v>
      </c>
      <c r="I75" s="6" t="s">
        <v>129</v>
      </c>
      <c r="J75" s="8" t="s">
        <v>680</v>
      </c>
      <c r="K75" s="12" t="n">
        <v>46213</v>
      </c>
      <c r="L75" s="15" t="str">
        <f aca="true">IF(K75&lt;TODAY(),"已截止",IF(K75=TODAY(),"今日截止",IF(K75-TODAY()&lt;=7,"7天内截止","进行中")))</f>
        <v>已截止</v>
      </c>
      <c r="M75" s="14" t="n">
        <f aca="true">IF(ISNUMBER(K75),K75-TODAY(),"")</f>
        <v>-102</v>
      </c>
      <c r="N75" s="13" t="s">
        <v>395</v>
      </c>
      <c r="O75" s="6" t="s">
        <v>134</v>
      </c>
      <c r="P75" s="6" t="s">
        <v>681</v>
      </c>
    </row>
    <row r="76" customFormat="false" ht="28.5" hidden="false" customHeight="true" outlineLevel="0" collapsed="false">
      <c r="A76" s="7" t="n">
        <v>73</v>
      </c>
      <c r="B76" s="6" t="s">
        <v>47</v>
      </c>
      <c r="C76" s="6" t="s">
        <v>127</v>
      </c>
      <c r="D76" s="6" t="s">
        <v>126</v>
      </c>
      <c r="E76" s="6" t="s">
        <v>442</v>
      </c>
      <c r="F76" s="6" t="s">
        <v>317</v>
      </c>
      <c r="G76" s="6" t="s">
        <v>128</v>
      </c>
      <c r="H76" s="6" t="s">
        <v>527</v>
      </c>
      <c r="I76" s="6" t="s">
        <v>129</v>
      </c>
      <c r="J76" s="8" t="s">
        <v>682</v>
      </c>
      <c r="K76" s="12" t="n">
        <v>46212</v>
      </c>
      <c r="L76" s="15" t="str">
        <f aca="true">IF(K76&lt;TODAY(),"已截止",IF(K76=TODAY(),"今日截止",IF(K76-TODAY()&lt;=7,"7天内截止","进行中")))</f>
        <v>已截止</v>
      </c>
      <c r="M76" s="14" t="n">
        <f aca="true">IF(ISNUMBER(K76),K76-TODAY(),"")</f>
        <v>-103</v>
      </c>
      <c r="N76" s="13" t="s">
        <v>395</v>
      </c>
      <c r="O76" s="6" t="s">
        <v>130</v>
      </c>
      <c r="P76" s="6" t="s">
        <v>683</v>
      </c>
    </row>
    <row r="77" customFormat="false" ht="28.5" hidden="false" customHeight="true" outlineLevel="0" collapsed="false">
      <c r="A77" s="7" t="n">
        <v>74</v>
      </c>
      <c r="B77" s="6" t="s">
        <v>47</v>
      </c>
      <c r="C77" s="6" t="s">
        <v>684</v>
      </c>
      <c r="D77" s="6" t="s">
        <v>685</v>
      </c>
      <c r="E77" s="6" t="s">
        <v>526</v>
      </c>
      <c r="F77" s="6" t="s">
        <v>317</v>
      </c>
      <c r="G77" s="6" t="s">
        <v>686</v>
      </c>
      <c r="H77" s="6" t="s">
        <v>328</v>
      </c>
      <c r="I77" s="8" t="s">
        <v>687</v>
      </c>
      <c r="J77" s="8" t="s">
        <v>688</v>
      </c>
      <c r="K77" s="6"/>
      <c r="L77" s="15" t="s">
        <v>89</v>
      </c>
      <c r="M77" s="14"/>
      <c r="N77" s="13" t="s">
        <v>322</v>
      </c>
      <c r="O77" s="6" t="s">
        <v>689</v>
      </c>
      <c r="P77" s="6" t="s">
        <v>690</v>
      </c>
    </row>
    <row r="78" customFormat="false" ht="28.5" hidden="false" customHeight="true" outlineLevel="0" collapsed="false">
      <c r="A78" s="7" t="n">
        <v>75</v>
      </c>
      <c r="B78" s="6" t="s">
        <v>47</v>
      </c>
      <c r="C78" s="6" t="s">
        <v>691</v>
      </c>
      <c r="D78" s="6" t="s">
        <v>692</v>
      </c>
      <c r="E78" s="6" t="s">
        <v>476</v>
      </c>
      <c r="F78" s="6" t="s">
        <v>317</v>
      </c>
      <c r="G78" s="6" t="s">
        <v>693</v>
      </c>
      <c r="H78" s="6" t="s">
        <v>643</v>
      </c>
      <c r="I78" s="6" t="s">
        <v>694</v>
      </c>
      <c r="J78" s="8" t="s">
        <v>695</v>
      </c>
      <c r="K78" s="12" t="n">
        <v>46325</v>
      </c>
      <c r="L78" s="15" t="str">
        <f aca="true">IF(K78&lt;TODAY(),"已截止",IF(K78=TODAY(),"今日截止",IF(K78-TODAY()&lt;=7,"7天内截止","进行中")))</f>
        <v>进行中</v>
      </c>
      <c r="M78" s="14" t="n">
        <f aca="true">IF(ISNUMBER(K78),K78-TODAY(),"")</f>
        <v>10</v>
      </c>
      <c r="N78" s="13" t="s">
        <v>322</v>
      </c>
      <c r="O78" s="6" t="s">
        <v>696</v>
      </c>
      <c r="P78" s="6" t="s">
        <v>697</v>
      </c>
    </row>
    <row r="79" customFormat="false" ht="28.5" hidden="false" customHeight="true" outlineLevel="0" collapsed="false">
      <c r="A79" s="7" t="n">
        <v>76</v>
      </c>
      <c r="B79" s="6" t="s">
        <v>47</v>
      </c>
      <c r="C79" s="6" t="s">
        <v>691</v>
      </c>
      <c r="D79" s="6" t="s">
        <v>698</v>
      </c>
      <c r="E79" s="6" t="s">
        <v>476</v>
      </c>
      <c r="F79" s="6" t="s">
        <v>317</v>
      </c>
      <c r="G79" s="6" t="s">
        <v>699</v>
      </c>
      <c r="H79" s="6" t="s">
        <v>328</v>
      </c>
      <c r="I79" s="6" t="s">
        <v>700</v>
      </c>
      <c r="J79" s="8" t="s">
        <v>701</v>
      </c>
      <c r="K79" s="6"/>
      <c r="L79" s="15" t="s">
        <v>89</v>
      </c>
      <c r="M79" s="14"/>
      <c r="N79" s="13" t="s">
        <v>322</v>
      </c>
      <c r="O79" s="6" t="s">
        <v>702</v>
      </c>
      <c r="P79" s="6" t="s">
        <v>354</v>
      </c>
    </row>
    <row r="80" customFormat="false" ht="28.5" hidden="false" customHeight="true" outlineLevel="0" collapsed="false">
      <c r="A80" s="7" t="n">
        <v>77</v>
      </c>
      <c r="B80" s="6" t="s">
        <v>47</v>
      </c>
      <c r="C80" s="6" t="s">
        <v>703</v>
      </c>
      <c r="D80" s="6" t="s">
        <v>704</v>
      </c>
      <c r="E80" s="6" t="s">
        <v>392</v>
      </c>
      <c r="F80" s="6" t="s">
        <v>317</v>
      </c>
      <c r="G80" s="6" t="s">
        <v>443</v>
      </c>
      <c r="H80" s="6" t="s">
        <v>410</v>
      </c>
      <c r="I80" s="6" t="s">
        <v>705</v>
      </c>
      <c r="J80" s="8" t="s">
        <v>706</v>
      </c>
      <c r="K80" s="6"/>
      <c r="L80" s="15" t="s">
        <v>89</v>
      </c>
      <c r="M80" s="14"/>
      <c r="N80" s="13" t="s">
        <v>322</v>
      </c>
      <c r="O80" s="6" t="s">
        <v>707</v>
      </c>
      <c r="P80" s="6" t="s">
        <v>324</v>
      </c>
    </row>
    <row r="81" customFormat="false" ht="28.5" hidden="false" customHeight="true" outlineLevel="0" collapsed="false">
      <c r="A81" s="7" t="n">
        <v>78</v>
      </c>
      <c r="B81" s="6" t="s">
        <v>47</v>
      </c>
      <c r="C81" s="6" t="s">
        <v>708</v>
      </c>
      <c r="D81" s="6" t="s">
        <v>709</v>
      </c>
      <c r="E81" s="6" t="s">
        <v>392</v>
      </c>
      <c r="F81" s="6" t="s">
        <v>317</v>
      </c>
      <c r="G81" s="6" t="s">
        <v>710</v>
      </c>
      <c r="H81" s="6" t="s">
        <v>410</v>
      </c>
      <c r="I81" s="8" t="s">
        <v>711</v>
      </c>
      <c r="J81" s="8" t="s">
        <v>712</v>
      </c>
      <c r="K81" s="12" t="n">
        <v>46290</v>
      </c>
      <c r="L81" s="15" t="str">
        <f aca="true">IF(K81&lt;TODAY(),"已截止",IF(K81=TODAY(),"今日截止",IF(K81-TODAY()&lt;=7,"7天内截止","进行中")))</f>
        <v>已截止</v>
      </c>
      <c r="M81" s="14" t="n">
        <f aca="true">IF(ISNUMBER(K81),K81-TODAY(),"")</f>
        <v>-25</v>
      </c>
      <c r="N81" s="13" t="s">
        <v>322</v>
      </c>
      <c r="O81" s="6" t="s">
        <v>713</v>
      </c>
      <c r="P81" s="6" t="s">
        <v>324</v>
      </c>
    </row>
    <row r="82" customFormat="false" ht="28.5" hidden="false" customHeight="true" outlineLevel="0" collapsed="false">
      <c r="A82" s="7" t="n">
        <v>79</v>
      </c>
      <c r="B82" s="6" t="s">
        <v>47</v>
      </c>
      <c r="C82" s="6" t="s">
        <v>714</v>
      </c>
      <c r="D82" s="6" t="s">
        <v>715</v>
      </c>
      <c r="E82" s="6" t="s">
        <v>442</v>
      </c>
      <c r="F82" s="6" t="s">
        <v>317</v>
      </c>
      <c r="G82" s="6" t="s">
        <v>716</v>
      </c>
      <c r="H82" s="6" t="s">
        <v>328</v>
      </c>
      <c r="I82" s="6" t="s">
        <v>717</v>
      </c>
      <c r="J82" s="8" t="s">
        <v>412</v>
      </c>
      <c r="K82" s="12" t="n">
        <v>46336</v>
      </c>
      <c r="L82" s="15" t="str">
        <f aca="true">IF(K82&lt;TODAY(),"已截止",IF(K82=TODAY(),"今日截止",IF(K82-TODAY()&lt;=7,"7天内截止","进行中")))</f>
        <v>进行中</v>
      </c>
      <c r="M82" s="14" t="n">
        <f aca="true">IF(ISNUMBER(K82),K82-TODAY(),"")</f>
        <v>21</v>
      </c>
      <c r="N82" s="13" t="s">
        <v>322</v>
      </c>
      <c r="O82" s="6" t="s">
        <v>718</v>
      </c>
      <c r="P82" s="6" t="s">
        <v>324</v>
      </c>
    </row>
    <row r="83" customFormat="false" ht="28.5" hidden="false" customHeight="true" outlineLevel="0" collapsed="false">
      <c r="A83" s="7" t="n">
        <v>80</v>
      </c>
      <c r="B83" s="6" t="s">
        <v>47</v>
      </c>
      <c r="C83" s="6" t="s">
        <v>708</v>
      </c>
      <c r="D83" s="6" t="s">
        <v>719</v>
      </c>
      <c r="E83" s="6" t="s">
        <v>476</v>
      </c>
      <c r="F83" s="6" t="s">
        <v>317</v>
      </c>
      <c r="G83" s="8" t="s">
        <v>720</v>
      </c>
      <c r="H83" s="6" t="s">
        <v>328</v>
      </c>
      <c r="I83" s="6" t="s">
        <v>721</v>
      </c>
      <c r="J83" s="8" t="s">
        <v>722</v>
      </c>
      <c r="K83" s="6"/>
      <c r="L83" s="15" t="s">
        <v>89</v>
      </c>
      <c r="M83" s="14"/>
      <c r="N83" s="13" t="s">
        <v>322</v>
      </c>
      <c r="O83" s="6" t="s">
        <v>723</v>
      </c>
      <c r="P83" s="6" t="s">
        <v>724</v>
      </c>
    </row>
    <row r="84" customFormat="false" ht="28.5" hidden="false" customHeight="true" outlineLevel="0" collapsed="false">
      <c r="A84" s="7" t="n">
        <v>81</v>
      </c>
      <c r="B84" s="6" t="s">
        <v>47</v>
      </c>
      <c r="C84" s="6" t="s">
        <v>708</v>
      </c>
      <c r="D84" s="6" t="s">
        <v>725</v>
      </c>
      <c r="E84" s="6" t="s">
        <v>726</v>
      </c>
      <c r="F84" s="6" t="s">
        <v>317</v>
      </c>
      <c r="G84" s="6" t="s">
        <v>443</v>
      </c>
      <c r="H84" s="6" t="s">
        <v>328</v>
      </c>
      <c r="I84" s="6" t="s">
        <v>427</v>
      </c>
      <c r="J84" s="8" t="s">
        <v>727</v>
      </c>
      <c r="K84" s="12" t="n">
        <v>46335</v>
      </c>
      <c r="L84" s="15" t="str">
        <f aca="true">IF(K84&lt;TODAY(),"已截止",IF(K84=TODAY(),"今日截止",IF(K84-TODAY()&lt;=7,"7天内截止","进行中")))</f>
        <v>进行中</v>
      </c>
      <c r="M84" s="14" t="n">
        <f aca="true">IF(ISNUMBER(K84),K84-TODAY(),"")</f>
        <v>20</v>
      </c>
      <c r="N84" s="13" t="s">
        <v>370</v>
      </c>
      <c r="O84" s="6" t="s">
        <v>669</v>
      </c>
      <c r="P84" s="6" t="s">
        <v>324</v>
      </c>
    </row>
  </sheetData>
  <autoFilter ref="A3:P84"/>
  <mergeCells count="2">
    <mergeCell ref="A1:P1"/>
    <mergeCell ref="A2:P2"/>
  </mergeCells>
  <conditionalFormatting sqref="L4:L84">
    <cfRule type="expression" priority="2" aboveAverage="0" equalAverage="0" bottom="0" percent="0" rank="0" text="" dxfId="10">
      <formula>L4="已截止"</formula>
    </cfRule>
    <cfRule type="expression" priority="3" aboveAverage="0" equalAverage="0" bottom="0" percent="0" rank="0" text="" dxfId="11">
      <formula>OR(L4="今日截止",L4="7天内截止")</formula>
    </cfRule>
    <cfRule type="expression" priority="4" aboveAverage="0" equalAverage="0" bottom="0" percent="0" rank="0" text="" dxfId="12">
      <formula>L4="进行中"</formula>
    </cfRule>
    <cfRule type="expression" priority="5" aboveAverage="0" equalAverage="0" bottom="0" percent="0" rank="0" text="" dxfId="13">
      <formula>LEFT(L4,3)="已启动"</formula>
    </cfRule>
  </conditionalFormatting>
  <conditionalFormatting sqref="N4:N84">
    <cfRule type="expression" priority="6" aboveAverage="0" equalAverage="0" bottom="0" percent="0" rank="0" text="" dxfId="16">
      <formula>N4="★★★"</formula>
    </cfRule>
    <cfRule type="expression" priority="7" aboveAverage="0" equalAverage="0" bottom="0" percent="0" rank="0" text="" dxfId="17">
      <formula>N4="★★"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36"/>
  </cols>
  <sheetData>
    <row r="1" customFormat="false" ht="24" hidden="false" customHeight="true" outlineLevel="0" collapsed="false">
      <c r="A1" s="1" t="s">
        <v>728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18" t="s">
        <v>729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30" hidden="false" customHeight="true" outlineLevel="0" collapsed="false">
      <c r="A3" s="5" t="s">
        <v>304</v>
      </c>
      <c r="B3" s="5" t="s">
        <v>31</v>
      </c>
      <c r="C3" s="5" t="s">
        <v>730</v>
      </c>
      <c r="D3" s="5" t="s">
        <v>67</v>
      </c>
      <c r="E3" s="5" t="s">
        <v>306</v>
      </c>
      <c r="F3" s="5" t="s">
        <v>307</v>
      </c>
      <c r="G3" s="5" t="s">
        <v>731</v>
      </c>
      <c r="H3" s="5" t="s">
        <v>732</v>
      </c>
      <c r="I3" s="5" t="s">
        <v>733</v>
      </c>
      <c r="J3" s="5" t="s">
        <v>313</v>
      </c>
      <c r="K3" s="5" t="s">
        <v>734</v>
      </c>
    </row>
    <row r="4" customFormat="false" ht="28.5" hidden="false" customHeight="true" outlineLevel="0" collapsed="false">
      <c r="A4" s="7" t="n">
        <v>1</v>
      </c>
      <c r="B4" s="6" t="s">
        <v>35</v>
      </c>
      <c r="C4" s="6" t="s">
        <v>157</v>
      </c>
      <c r="D4" s="6" t="s">
        <v>156</v>
      </c>
      <c r="E4" s="6" t="s">
        <v>341</v>
      </c>
      <c r="F4" s="6" t="s">
        <v>342</v>
      </c>
      <c r="G4" s="6" t="s">
        <v>158</v>
      </c>
      <c r="H4" s="6" t="s">
        <v>160</v>
      </c>
      <c r="I4" s="6" t="s">
        <v>199</v>
      </c>
      <c r="J4" s="13" t="s">
        <v>395</v>
      </c>
      <c r="K4" s="6" t="s">
        <v>161</v>
      </c>
    </row>
    <row r="5" customFormat="false" ht="28.5" hidden="false" customHeight="true" outlineLevel="0" collapsed="false">
      <c r="A5" s="7" t="n">
        <v>2</v>
      </c>
      <c r="B5" s="6" t="s">
        <v>35</v>
      </c>
      <c r="C5" s="6" t="s">
        <v>157</v>
      </c>
      <c r="D5" s="6" t="s">
        <v>162</v>
      </c>
      <c r="E5" s="6" t="s">
        <v>735</v>
      </c>
      <c r="F5" s="6" t="s">
        <v>736</v>
      </c>
      <c r="G5" s="6" t="s">
        <v>163</v>
      </c>
      <c r="H5" s="6" t="s">
        <v>160</v>
      </c>
      <c r="I5" s="6" t="s">
        <v>199</v>
      </c>
      <c r="J5" s="13" t="s">
        <v>395</v>
      </c>
      <c r="K5" s="6" t="s">
        <v>164</v>
      </c>
    </row>
    <row r="6" customFormat="false" ht="15" hidden="false" customHeight="true" outlineLevel="0" collapsed="false">
      <c r="A6" s="7" t="n">
        <v>3</v>
      </c>
      <c r="B6" s="6" t="s">
        <v>35</v>
      </c>
      <c r="C6" s="6" t="s">
        <v>166</v>
      </c>
      <c r="D6" s="6" t="s">
        <v>165</v>
      </c>
      <c r="E6" s="6" t="s">
        <v>737</v>
      </c>
      <c r="F6" s="6" t="s">
        <v>342</v>
      </c>
      <c r="G6" s="6" t="s">
        <v>167</v>
      </c>
      <c r="H6" s="6" t="s">
        <v>168</v>
      </c>
      <c r="I6" s="6" t="s">
        <v>199</v>
      </c>
      <c r="J6" s="13" t="s">
        <v>395</v>
      </c>
      <c r="K6" s="6" t="s">
        <v>169</v>
      </c>
    </row>
    <row r="7" customFormat="false" ht="15" hidden="false" customHeight="true" outlineLevel="0" collapsed="false">
      <c r="A7" s="7" t="n">
        <v>4</v>
      </c>
      <c r="B7" s="6" t="s">
        <v>35</v>
      </c>
      <c r="C7" s="6" t="s">
        <v>157</v>
      </c>
      <c r="D7" s="6" t="s">
        <v>170</v>
      </c>
      <c r="E7" s="6" t="s">
        <v>341</v>
      </c>
      <c r="F7" s="6" t="s">
        <v>342</v>
      </c>
      <c r="G7" s="6" t="s">
        <v>171</v>
      </c>
      <c r="H7" s="6" t="s">
        <v>160</v>
      </c>
      <c r="I7" s="6" t="s">
        <v>199</v>
      </c>
      <c r="J7" s="13" t="s">
        <v>395</v>
      </c>
      <c r="K7" s="6" t="s">
        <v>172</v>
      </c>
    </row>
    <row r="8" customFormat="false" ht="15" hidden="false" customHeight="true" outlineLevel="0" collapsed="false">
      <c r="A8" s="7" t="n">
        <v>5</v>
      </c>
      <c r="B8" s="6" t="s">
        <v>35</v>
      </c>
      <c r="C8" s="6" t="s">
        <v>166</v>
      </c>
      <c r="D8" s="6" t="s">
        <v>173</v>
      </c>
      <c r="E8" s="6" t="s">
        <v>738</v>
      </c>
      <c r="F8" s="6" t="s">
        <v>342</v>
      </c>
      <c r="G8" s="6" t="s">
        <v>174</v>
      </c>
      <c r="H8" s="6" t="s">
        <v>160</v>
      </c>
      <c r="I8" s="6" t="s">
        <v>199</v>
      </c>
      <c r="J8" s="13" t="s">
        <v>395</v>
      </c>
      <c r="K8" s="6" t="s">
        <v>175</v>
      </c>
    </row>
    <row r="9" customFormat="false" ht="15" hidden="false" customHeight="true" outlineLevel="0" collapsed="false">
      <c r="A9" s="7" t="n">
        <v>6</v>
      </c>
      <c r="B9" s="6" t="s">
        <v>35</v>
      </c>
      <c r="C9" s="6" t="s">
        <v>166</v>
      </c>
      <c r="D9" s="6" t="s">
        <v>176</v>
      </c>
      <c r="E9" s="6" t="s">
        <v>737</v>
      </c>
      <c r="F9" s="6" t="s">
        <v>342</v>
      </c>
      <c r="G9" s="6" t="s">
        <v>177</v>
      </c>
      <c r="H9" s="6" t="s">
        <v>160</v>
      </c>
      <c r="I9" s="6" t="s">
        <v>199</v>
      </c>
      <c r="J9" s="13" t="s">
        <v>395</v>
      </c>
      <c r="K9" s="6" t="s">
        <v>178</v>
      </c>
    </row>
    <row r="10" customFormat="false" ht="28.5" hidden="false" customHeight="true" outlineLevel="0" collapsed="false">
      <c r="A10" s="7" t="n">
        <v>7</v>
      </c>
      <c r="B10" s="6" t="s">
        <v>35</v>
      </c>
      <c r="C10" s="6" t="s">
        <v>157</v>
      </c>
      <c r="D10" s="6" t="s">
        <v>179</v>
      </c>
      <c r="E10" s="6" t="s">
        <v>551</v>
      </c>
      <c r="F10" s="6" t="s">
        <v>317</v>
      </c>
      <c r="G10" s="6" t="s">
        <v>180</v>
      </c>
      <c r="H10" s="6" t="s">
        <v>160</v>
      </c>
      <c r="I10" s="6" t="s">
        <v>199</v>
      </c>
      <c r="J10" s="13" t="s">
        <v>395</v>
      </c>
      <c r="K10" s="6" t="s">
        <v>181</v>
      </c>
    </row>
    <row r="11" customFormat="false" ht="28.5" hidden="false" customHeight="true" outlineLevel="0" collapsed="false">
      <c r="A11" s="7" t="n">
        <v>8</v>
      </c>
      <c r="B11" s="6" t="s">
        <v>35</v>
      </c>
      <c r="C11" s="6" t="s">
        <v>157</v>
      </c>
      <c r="D11" s="6" t="s">
        <v>182</v>
      </c>
      <c r="E11" s="6" t="s">
        <v>385</v>
      </c>
      <c r="F11" s="6" t="s">
        <v>358</v>
      </c>
      <c r="G11" s="6" t="s">
        <v>183</v>
      </c>
      <c r="H11" s="6" t="s">
        <v>184</v>
      </c>
      <c r="I11" s="6" t="s">
        <v>207</v>
      </c>
      <c r="J11" s="13" t="s">
        <v>395</v>
      </c>
      <c r="K11" s="6" t="s">
        <v>185</v>
      </c>
    </row>
    <row r="12" customFormat="false" ht="28.5" hidden="false" customHeight="true" outlineLevel="0" collapsed="false">
      <c r="A12" s="7" t="n">
        <v>9</v>
      </c>
      <c r="B12" s="6" t="s">
        <v>35</v>
      </c>
      <c r="C12" s="6" t="s">
        <v>166</v>
      </c>
      <c r="D12" s="6" t="s">
        <v>739</v>
      </c>
      <c r="E12" s="6" t="s">
        <v>392</v>
      </c>
      <c r="F12" s="6" t="s">
        <v>317</v>
      </c>
      <c r="G12" s="6" t="s">
        <v>740</v>
      </c>
      <c r="H12" s="6" t="s">
        <v>741</v>
      </c>
      <c r="I12" s="8" t="s">
        <v>742</v>
      </c>
      <c r="J12" s="13" t="s">
        <v>322</v>
      </c>
      <c r="K12" s="6" t="s">
        <v>743</v>
      </c>
    </row>
    <row r="13" customFormat="false" ht="15" hidden="false" customHeight="true" outlineLevel="0" collapsed="false">
      <c r="A13" s="7" t="n">
        <v>10</v>
      </c>
      <c r="B13" s="6" t="s">
        <v>35</v>
      </c>
      <c r="C13" s="6" t="s">
        <v>744</v>
      </c>
      <c r="D13" s="6" t="s">
        <v>745</v>
      </c>
      <c r="E13" s="6" t="s">
        <v>392</v>
      </c>
      <c r="F13" s="6" t="s">
        <v>317</v>
      </c>
      <c r="G13" s="6" t="s">
        <v>443</v>
      </c>
      <c r="H13" s="6" t="s">
        <v>746</v>
      </c>
      <c r="I13" s="8" t="s">
        <v>747</v>
      </c>
      <c r="J13" s="13" t="s">
        <v>322</v>
      </c>
      <c r="K13" s="6" t="s">
        <v>748</v>
      </c>
    </row>
    <row r="14" customFormat="false" ht="28.5" hidden="false" customHeight="true" outlineLevel="0" collapsed="false">
      <c r="A14" s="7" t="n">
        <v>11</v>
      </c>
      <c r="B14" s="6" t="s">
        <v>35</v>
      </c>
      <c r="C14" s="6" t="s">
        <v>166</v>
      </c>
      <c r="D14" s="6" t="s">
        <v>749</v>
      </c>
      <c r="E14" s="6" t="s">
        <v>349</v>
      </c>
      <c r="F14" s="6" t="s">
        <v>342</v>
      </c>
      <c r="G14" s="6" t="s">
        <v>750</v>
      </c>
      <c r="H14" s="6" t="s">
        <v>751</v>
      </c>
      <c r="I14" s="6" t="s">
        <v>199</v>
      </c>
      <c r="J14" s="13" t="s">
        <v>322</v>
      </c>
      <c r="K14" s="6" t="s">
        <v>752</v>
      </c>
    </row>
    <row r="15" customFormat="false" ht="28.5" hidden="false" customHeight="true" outlineLevel="0" collapsed="false">
      <c r="A15" s="7" t="n">
        <v>12</v>
      </c>
      <c r="B15" s="6" t="s">
        <v>35</v>
      </c>
      <c r="C15" s="6" t="s">
        <v>166</v>
      </c>
      <c r="D15" s="6" t="s">
        <v>753</v>
      </c>
      <c r="E15" s="6" t="s">
        <v>349</v>
      </c>
      <c r="F15" s="6" t="s">
        <v>342</v>
      </c>
      <c r="G15" s="6" t="s">
        <v>754</v>
      </c>
      <c r="H15" s="6" t="s">
        <v>160</v>
      </c>
      <c r="I15" s="6" t="s">
        <v>199</v>
      </c>
      <c r="J15" s="13" t="s">
        <v>322</v>
      </c>
      <c r="K15" s="6" t="s">
        <v>755</v>
      </c>
    </row>
    <row r="16" customFormat="false" ht="28.5" hidden="false" customHeight="true" outlineLevel="0" collapsed="false">
      <c r="A16" s="7" t="n">
        <v>13</v>
      </c>
      <c r="B16" s="6" t="s">
        <v>35</v>
      </c>
      <c r="C16" s="6" t="s">
        <v>166</v>
      </c>
      <c r="D16" s="6" t="s">
        <v>756</v>
      </c>
      <c r="E16" s="6" t="s">
        <v>349</v>
      </c>
      <c r="F16" s="6" t="s">
        <v>342</v>
      </c>
      <c r="G16" s="6" t="s">
        <v>757</v>
      </c>
      <c r="H16" s="6" t="s">
        <v>160</v>
      </c>
      <c r="I16" s="8" t="s">
        <v>758</v>
      </c>
      <c r="J16" s="13" t="s">
        <v>322</v>
      </c>
      <c r="K16" s="6" t="s">
        <v>759</v>
      </c>
    </row>
    <row r="17" customFormat="false" ht="15" hidden="false" customHeight="true" outlineLevel="0" collapsed="false">
      <c r="A17" s="7" t="n">
        <v>14</v>
      </c>
      <c r="B17" s="6" t="s">
        <v>35</v>
      </c>
      <c r="C17" s="6" t="s">
        <v>157</v>
      </c>
      <c r="D17" s="6" t="s">
        <v>760</v>
      </c>
      <c r="E17" s="6" t="s">
        <v>341</v>
      </c>
      <c r="F17" s="6" t="s">
        <v>342</v>
      </c>
      <c r="G17" s="6" t="s">
        <v>761</v>
      </c>
      <c r="H17" s="6" t="s">
        <v>215</v>
      </c>
      <c r="I17" s="8" t="s">
        <v>762</v>
      </c>
      <c r="J17" s="13" t="s">
        <v>322</v>
      </c>
      <c r="K17" s="6" t="s">
        <v>763</v>
      </c>
    </row>
    <row r="18" customFormat="false" ht="15" hidden="false" customHeight="true" outlineLevel="0" collapsed="false">
      <c r="A18" s="7" t="n">
        <v>15</v>
      </c>
      <c r="B18" s="6" t="s">
        <v>35</v>
      </c>
      <c r="C18" s="6" t="s">
        <v>157</v>
      </c>
      <c r="D18" s="6" t="s">
        <v>764</v>
      </c>
      <c r="E18" s="6" t="s">
        <v>341</v>
      </c>
      <c r="F18" s="6" t="s">
        <v>342</v>
      </c>
      <c r="G18" s="6" t="s">
        <v>615</v>
      </c>
      <c r="H18" s="6" t="s">
        <v>160</v>
      </c>
      <c r="I18" s="8" t="s">
        <v>765</v>
      </c>
      <c r="J18" s="13" t="s">
        <v>322</v>
      </c>
      <c r="K18" s="6"/>
    </row>
    <row r="19" customFormat="false" ht="15" hidden="false" customHeight="true" outlineLevel="0" collapsed="false">
      <c r="A19" s="7" t="n">
        <v>16</v>
      </c>
      <c r="B19" s="6" t="s">
        <v>35</v>
      </c>
      <c r="C19" s="6" t="s">
        <v>157</v>
      </c>
      <c r="D19" s="6" t="s">
        <v>766</v>
      </c>
      <c r="E19" s="6" t="s">
        <v>341</v>
      </c>
      <c r="F19" s="6" t="s">
        <v>342</v>
      </c>
      <c r="G19" s="6" t="s">
        <v>767</v>
      </c>
      <c r="H19" s="6" t="s">
        <v>160</v>
      </c>
      <c r="I19" s="6" t="s">
        <v>199</v>
      </c>
      <c r="J19" s="13" t="s">
        <v>322</v>
      </c>
      <c r="K19" s="6"/>
    </row>
    <row r="20" customFormat="false" ht="28.5" hidden="false" customHeight="true" outlineLevel="0" collapsed="false">
      <c r="A20" s="7" t="n">
        <v>17</v>
      </c>
      <c r="B20" s="6" t="s">
        <v>35</v>
      </c>
      <c r="C20" s="6" t="s">
        <v>166</v>
      </c>
      <c r="D20" s="6" t="s">
        <v>768</v>
      </c>
      <c r="E20" s="6" t="s">
        <v>769</v>
      </c>
      <c r="F20" s="6" t="s">
        <v>317</v>
      </c>
      <c r="G20" s="6" t="s">
        <v>770</v>
      </c>
      <c r="H20" s="8" t="s">
        <v>771</v>
      </c>
      <c r="I20" s="8" t="s">
        <v>772</v>
      </c>
      <c r="J20" s="13" t="s">
        <v>322</v>
      </c>
      <c r="K20" s="6" t="s">
        <v>773</v>
      </c>
    </row>
    <row r="21" customFormat="false" ht="15" hidden="false" customHeight="true" outlineLevel="0" collapsed="false">
      <c r="A21" s="7" t="n">
        <v>18</v>
      </c>
      <c r="B21" s="6" t="s">
        <v>35</v>
      </c>
      <c r="C21" s="6" t="s">
        <v>166</v>
      </c>
      <c r="D21" s="6" t="s">
        <v>774</v>
      </c>
      <c r="E21" s="6" t="s">
        <v>775</v>
      </c>
      <c r="F21" s="6" t="s">
        <v>342</v>
      </c>
      <c r="G21" s="6" t="s">
        <v>776</v>
      </c>
      <c r="H21" s="6" t="s">
        <v>160</v>
      </c>
      <c r="I21" s="8" t="s">
        <v>777</v>
      </c>
      <c r="J21" s="13" t="s">
        <v>322</v>
      </c>
      <c r="K21" s="6"/>
    </row>
    <row r="22" customFormat="false" ht="28.5" hidden="false" customHeight="true" outlineLevel="0" collapsed="false">
      <c r="A22" s="7" t="n">
        <v>19</v>
      </c>
      <c r="B22" s="6" t="s">
        <v>35</v>
      </c>
      <c r="C22" s="6" t="s">
        <v>378</v>
      </c>
      <c r="D22" s="6" t="s">
        <v>778</v>
      </c>
      <c r="E22" s="6" t="s">
        <v>779</v>
      </c>
      <c r="F22" s="6" t="s">
        <v>342</v>
      </c>
      <c r="G22" s="6" t="s">
        <v>780</v>
      </c>
      <c r="H22" s="6" t="s">
        <v>160</v>
      </c>
      <c r="I22" s="6" t="s">
        <v>199</v>
      </c>
      <c r="J22" s="13" t="s">
        <v>322</v>
      </c>
      <c r="K22" s="6" t="s">
        <v>781</v>
      </c>
    </row>
    <row r="23" customFormat="false" ht="28.5" hidden="false" customHeight="true" outlineLevel="0" collapsed="false">
      <c r="A23" s="7" t="n">
        <v>20</v>
      </c>
      <c r="B23" s="6" t="s">
        <v>35</v>
      </c>
      <c r="C23" s="6" t="s">
        <v>782</v>
      </c>
      <c r="D23" s="6" t="s">
        <v>783</v>
      </c>
      <c r="E23" s="6" t="s">
        <v>784</v>
      </c>
      <c r="F23" s="6" t="s">
        <v>317</v>
      </c>
      <c r="G23" s="6" t="s">
        <v>785</v>
      </c>
      <c r="H23" s="6" t="s">
        <v>786</v>
      </c>
      <c r="I23" s="8" t="s">
        <v>787</v>
      </c>
      <c r="J23" s="13" t="s">
        <v>322</v>
      </c>
      <c r="K23" s="6"/>
    </row>
    <row r="24" customFormat="false" ht="15" hidden="false" customHeight="true" outlineLevel="0" collapsed="false">
      <c r="A24" s="7" t="n">
        <v>21</v>
      </c>
      <c r="B24" s="6" t="s">
        <v>35</v>
      </c>
      <c r="C24" s="6" t="s">
        <v>166</v>
      </c>
      <c r="D24" s="6" t="s">
        <v>788</v>
      </c>
      <c r="E24" s="6" t="s">
        <v>672</v>
      </c>
      <c r="F24" s="6" t="s">
        <v>317</v>
      </c>
      <c r="G24" s="6" t="s">
        <v>789</v>
      </c>
      <c r="H24" s="6" t="s">
        <v>790</v>
      </c>
      <c r="I24" s="6" t="s">
        <v>791</v>
      </c>
      <c r="J24" s="13" t="s">
        <v>322</v>
      </c>
      <c r="K24" s="6"/>
    </row>
    <row r="25" customFormat="false" ht="15" hidden="false" customHeight="true" outlineLevel="0" collapsed="false">
      <c r="A25" s="7" t="n">
        <v>22</v>
      </c>
      <c r="B25" s="6" t="s">
        <v>35</v>
      </c>
      <c r="C25" s="6" t="s">
        <v>157</v>
      </c>
      <c r="D25" s="6" t="s">
        <v>792</v>
      </c>
      <c r="E25" s="6" t="s">
        <v>341</v>
      </c>
      <c r="F25" s="6" t="s">
        <v>342</v>
      </c>
      <c r="G25" s="6" t="s">
        <v>793</v>
      </c>
      <c r="H25" s="6" t="s">
        <v>160</v>
      </c>
      <c r="I25" s="6" t="s">
        <v>199</v>
      </c>
      <c r="J25" s="13" t="s">
        <v>370</v>
      </c>
      <c r="K25" s="6"/>
    </row>
    <row r="26" customFormat="false" ht="15" hidden="false" customHeight="true" outlineLevel="0" collapsed="false">
      <c r="A26" s="7" t="n">
        <v>23</v>
      </c>
      <c r="B26" s="6" t="s">
        <v>35</v>
      </c>
      <c r="C26" s="6" t="s">
        <v>157</v>
      </c>
      <c r="D26" s="6" t="s">
        <v>794</v>
      </c>
      <c r="E26" s="6" t="s">
        <v>341</v>
      </c>
      <c r="F26" s="6" t="s">
        <v>342</v>
      </c>
      <c r="G26" s="6" t="s">
        <v>795</v>
      </c>
      <c r="H26" s="6" t="s">
        <v>160</v>
      </c>
      <c r="I26" s="6" t="s">
        <v>199</v>
      </c>
      <c r="J26" s="13" t="s">
        <v>370</v>
      </c>
      <c r="K26" s="6"/>
    </row>
    <row r="27" customFormat="false" ht="15" hidden="false" customHeight="true" outlineLevel="0" collapsed="false">
      <c r="A27" s="7" t="n">
        <v>24</v>
      </c>
      <c r="B27" s="6" t="s">
        <v>35</v>
      </c>
      <c r="C27" s="6" t="s">
        <v>166</v>
      </c>
      <c r="D27" s="6" t="s">
        <v>796</v>
      </c>
      <c r="E27" s="6" t="s">
        <v>775</v>
      </c>
      <c r="F27" s="6" t="s">
        <v>342</v>
      </c>
      <c r="G27" s="6" t="s">
        <v>797</v>
      </c>
      <c r="H27" s="6" t="s">
        <v>160</v>
      </c>
      <c r="I27" s="8" t="s">
        <v>798</v>
      </c>
      <c r="J27" s="13" t="s">
        <v>370</v>
      </c>
      <c r="K27" s="6"/>
    </row>
    <row r="28" customFormat="false" ht="28.5" hidden="false" customHeight="true" outlineLevel="0" collapsed="false">
      <c r="A28" s="7" t="n">
        <v>25</v>
      </c>
      <c r="B28" s="6" t="s">
        <v>35</v>
      </c>
      <c r="C28" s="6" t="s">
        <v>157</v>
      </c>
      <c r="D28" s="6" t="s">
        <v>799</v>
      </c>
      <c r="E28" s="6" t="s">
        <v>800</v>
      </c>
      <c r="F28" s="6" t="s">
        <v>342</v>
      </c>
      <c r="G28" s="6" t="s">
        <v>801</v>
      </c>
      <c r="H28" s="6" t="s">
        <v>184</v>
      </c>
      <c r="I28" s="6" t="s">
        <v>802</v>
      </c>
      <c r="J28" s="13" t="s">
        <v>370</v>
      </c>
      <c r="K28" s="6"/>
    </row>
    <row r="29" customFormat="false" ht="15" hidden="false" customHeight="true" outlineLevel="0" collapsed="false">
      <c r="A29" s="7" t="n">
        <v>26</v>
      </c>
      <c r="B29" s="6" t="s">
        <v>35</v>
      </c>
      <c r="C29" s="6" t="s">
        <v>35</v>
      </c>
      <c r="D29" s="6" t="s">
        <v>803</v>
      </c>
      <c r="E29" s="6" t="s">
        <v>804</v>
      </c>
      <c r="F29" s="6" t="s">
        <v>342</v>
      </c>
      <c r="G29" s="6" t="s">
        <v>805</v>
      </c>
      <c r="H29" s="6" t="s">
        <v>184</v>
      </c>
      <c r="I29" s="6" t="s">
        <v>806</v>
      </c>
      <c r="J29" s="13" t="s">
        <v>370</v>
      </c>
      <c r="K29" s="6"/>
    </row>
    <row r="30" customFormat="false" ht="15" hidden="false" customHeight="true" outlineLevel="0" collapsed="false">
      <c r="A30" s="7" t="n">
        <v>27</v>
      </c>
      <c r="B30" s="6" t="s">
        <v>35</v>
      </c>
      <c r="C30" s="6" t="s">
        <v>166</v>
      </c>
      <c r="D30" s="6" t="s">
        <v>807</v>
      </c>
      <c r="E30" s="6" t="s">
        <v>385</v>
      </c>
      <c r="F30" s="6" t="s">
        <v>358</v>
      </c>
      <c r="G30" s="6" t="s">
        <v>808</v>
      </c>
      <c r="H30" s="6" t="s">
        <v>160</v>
      </c>
      <c r="I30" s="8" t="s">
        <v>809</v>
      </c>
      <c r="J30" s="13" t="s">
        <v>370</v>
      </c>
      <c r="K30" s="6"/>
    </row>
    <row r="31" customFormat="false" ht="28.5" hidden="false" customHeight="true" outlineLevel="0" collapsed="false">
      <c r="A31" s="7" t="n">
        <v>28</v>
      </c>
      <c r="B31" s="6" t="s">
        <v>37</v>
      </c>
      <c r="C31" s="6" t="s">
        <v>93</v>
      </c>
      <c r="D31" s="6" t="s">
        <v>186</v>
      </c>
      <c r="E31" s="6" t="s">
        <v>522</v>
      </c>
      <c r="F31" s="6" t="s">
        <v>317</v>
      </c>
      <c r="G31" s="6" t="s">
        <v>187</v>
      </c>
      <c r="H31" s="6" t="s">
        <v>188</v>
      </c>
      <c r="I31" s="8" t="s">
        <v>810</v>
      </c>
      <c r="J31" s="13" t="s">
        <v>395</v>
      </c>
      <c r="K31" s="6" t="s">
        <v>189</v>
      </c>
    </row>
    <row r="32" customFormat="false" ht="55.5" hidden="false" customHeight="true" outlineLevel="0" collapsed="false">
      <c r="A32" s="7" t="n">
        <v>29</v>
      </c>
      <c r="B32" s="6" t="s">
        <v>37</v>
      </c>
      <c r="C32" s="6" t="s">
        <v>93</v>
      </c>
      <c r="D32" s="6" t="s">
        <v>190</v>
      </c>
      <c r="E32" s="6" t="s">
        <v>522</v>
      </c>
      <c r="F32" s="6" t="s">
        <v>317</v>
      </c>
      <c r="G32" s="6" t="s">
        <v>191</v>
      </c>
      <c r="H32" s="6" t="s">
        <v>192</v>
      </c>
      <c r="I32" s="8" t="s">
        <v>811</v>
      </c>
      <c r="J32" s="13" t="s">
        <v>395</v>
      </c>
      <c r="K32" s="6" t="s">
        <v>193</v>
      </c>
    </row>
    <row r="33" customFormat="false" ht="28.5" hidden="false" customHeight="true" outlineLevel="0" collapsed="false">
      <c r="A33" s="7" t="n">
        <v>30</v>
      </c>
      <c r="B33" s="6" t="s">
        <v>37</v>
      </c>
      <c r="C33" s="6" t="s">
        <v>93</v>
      </c>
      <c r="D33" s="6" t="s">
        <v>194</v>
      </c>
      <c r="E33" s="6" t="s">
        <v>812</v>
      </c>
      <c r="F33" s="6" t="s">
        <v>342</v>
      </c>
      <c r="G33" s="6" t="s">
        <v>195</v>
      </c>
      <c r="H33" s="6" t="s">
        <v>160</v>
      </c>
      <c r="I33" s="8" t="s">
        <v>813</v>
      </c>
      <c r="J33" s="13" t="s">
        <v>395</v>
      </c>
      <c r="K33" s="6" t="s">
        <v>196</v>
      </c>
    </row>
    <row r="34" customFormat="false" ht="15" hidden="false" customHeight="true" outlineLevel="0" collapsed="false">
      <c r="A34" s="7" t="n">
        <v>31</v>
      </c>
      <c r="B34" s="6" t="s">
        <v>37</v>
      </c>
      <c r="C34" s="6" t="s">
        <v>93</v>
      </c>
      <c r="D34" s="6" t="s">
        <v>197</v>
      </c>
      <c r="E34" s="6" t="s">
        <v>814</v>
      </c>
      <c r="F34" s="6" t="s">
        <v>342</v>
      </c>
      <c r="G34" s="6" t="s">
        <v>171</v>
      </c>
      <c r="H34" s="6" t="s">
        <v>160</v>
      </c>
      <c r="I34" s="8" t="s">
        <v>815</v>
      </c>
      <c r="J34" s="13" t="s">
        <v>395</v>
      </c>
      <c r="K34" s="6" t="s">
        <v>169</v>
      </c>
    </row>
    <row r="35" customFormat="false" ht="15" hidden="false" customHeight="true" outlineLevel="0" collapsed="false">
      <c r="A35" s="7" t="n">
        <v>32</v>
      </c>
      <c r="B35" s="6" t="s">
        <v>37</v>
      </c>
      <c r="C35" s="6" t="s">
        <v>93</v>
      </c>
      <c r="D35" s="6" t="s">
        <v>198</v>
      </c>
      <c r="E35" s="6" t="s">
        <v>812</v>
      </c>
      <c r="F35" s="6" t="s">
        <v>342</v>
      </c>
      <c r="G35" s="6" t="s">
        <v>174</v>
      </c>
      <c r="H35" s="6" t="s">
        <v>160</v>
      </c>
      <c r="I35" s="6" t="s">
        <v>199</v>
      </c>
      <c r="J35" s="13" t="s">
        <v>395</v>
      </c>
      <c r="K35" s="6"/>
    </row>
    <row r="36" customFormat="false" ht="28.5" hidden="false" customHeight="true" outlineLevel="0" collapsed="false">
      <c r="A36" s="7" t="n">
        <v>33</v>
      </c>
      <c r="B36" s="6" t="s">
        <v>37</v>
      </c>
      <c r="C36" s="6" t="s">
        <v>93</v>
      </c>
      <c r="D36" s="6" t="s">
        <v>200</v>
      </c>
      <c r="E36" s="6" t="s">
        <v>456</v>
      </c>
      <c r="F36" s="6" t="s">
        <v>342</v>
      </c>
      <c r="G36" s="6" t="s">
        <v>201</v>
      </c>
      <c r="H36" s="6" t="s">
        <v>160</v>
      </c>
      <c r="I36" s="8" t="s">
        <v>202</v>
      </c>
      <c r="J36" s="13" t="s">
        <v>395</v>
      </c>
      <c r="K36" s="6"/>
    </row>
    <row r="37" customFormat="false" ht="15" hidden="false" customHeight="true" outlineLevel="0" collapsed="false">
      <c r="A37" s="7" t="n">
        <v>34</v>
      </c>
      <c r="B37" s="6" t="s">
        <v>37</v>
      </c>
      <c r="C37" s="6" t="s">
        <v>204</v>
      </c>
      <c r="D37" s="6" t="s">
        <v>203</v>
      </c>
      <c r="E37" s="6" t="s">
        <v>816</v>
      </c>
      <c r="F37" s="6" t="s">
        <v>817</v>
      </c>
      <c r="G37" s="6" t="s">
        <v>205</v>
      </c>
      <c r="H37" s="6" t="s">
        <v>160</v>
      </c>
      <c r="I37" s="6" t="s">
        <v>199</v>
      </c>
      <c r="J37" s="13" t="s">
        <v>395</v>
      </c>
      <c r="K37" s="6"/>
    </row>
    <row r="38" customFormat="false" ht="28.5" hidden="false" customHeight="true" outlineLevel="0" collapsed="false">
      <c r="A38" s="7" t="n">
        <v>35</v>
      </c>
      <c r="B38" s="6" t="s">
        <v>37</v>
      </c>
      <c r="C38" s="6" t="s">
        <v>93</v>
      </c>
      <c r="D38" s="6" t="s">
        <v>206</v>
      </c>
      <c r="E38" s="6" t="s">
        <v>818</v>
      </c>
      <c r="F38" s="6" t="s">
        <v>519</v>
      </c>
      <c r="G38" s="6" t="s">
        <v>177</v>
      </c>
      <c r="H38" s="6" t="s">
        <v>160</v>
      </c>
      <c r="I38" s="6" t="s">
        <v>207</v>
      </c>
      <c r="J38" s="13" t="s">
        <v>395</v>
      </c>
      <c r="K38" s="6"/>
    </row>
    <row r="39" customFormat="false" ht="15" hidden="false" customHeight="true" outlineLevel="0" collapsed="false">
      <c r="A39" s="7" t="n">
        <v>36</v>
      </c>
      <c r="B39" s="6" t="s">
        <v>37</v>
      </c>
      <c r="C39" s="6" t="s">
        <v>93</v>
      </c>
      <c r="D39" s="6" t="s">
        <v>819</v>
      </c>
      <c r="E39" s="6" t="s">
        <v>522</v>
      </c>
      <c r="F39" s="6" t="s">
        <v>317</v>
      </c>
      <c r="G39" s="6" t="s">
        <v>820</v>
      </c>
      <c r="H39" s="6" t="s">
        <v>104</v>
      </c>
      <c r="I39" s="6" t="s">
        <v>821</v>
      </c>
      <c r="J39" s="13" t="s">
        <v>322</v>
      </c>
      <c r="K39" s="6"/>
    </row>
    <row r="40" customFormat="false" ht="15" hidden="false" customHeight="true" outlineLevel="0" collapsed="false">
      <c r="A40" s="7" t="n">
        <v>37</v>
      </c>
      <c r="B40" s="6" t="s">
        <v>37</v>
      </c>
      <c r="C40" s="6" t="s">
        <v>822</v>
      </c>
      <c r="D40" s="6" t="s">
        <v>823</v>
      </c>
      <c r="E40" s="6" t="s">
        <v>442</v>
      </c>
      <c r="F40" s="6" t="s">
        <v>317</v>
      </c>
      <c r="G40" s="6" t="s">
        <v>824</v>
      </c>
      <c r="H40" s="6" t="s">
        <v>825</v>
      </c>
      <c r="I40" s="8" t="s">
        <v>826</v>
      </c>
      <c r="J40" s="13" t="s">
        <v>322</v>
      </c>
      <c r="K40" s="6"/>
    </row>
    <row r="41" customFormat="false" ht="15" hidden="false" customHeight="true" outlineLevel="0" collapsed="false">
      <c r="A41" s="7" t="n">
        <v>38</v>
      </c>
      <c r="B41" s="6" t="s">
        <v>37</v>
      </c>
      <c r="C41" s="6" t="s">
        <v>827</v>
      </c>
      <c r="D41" s="6" t="s">
        <v>828</v>
      </c>
      <c r="E41" s="6" t="s">
        <v>526</v>
      </c>
      <c r="F41" s="6" t="s">
        <v>317</v>
      </c>
      <c r="G41" s="6" t="s">
        <v>829</v>
      </c>
      <c r="H41" s="6" t="s">
        <v>215</v>
      </c>
      <c r="I41" s="8" t="s">
        <v>830</v>
      </c>
      <c r="J41" s="13" t="s">
        <v>322</v>
      </c>
      <c r="K41" s="6"/>
    </row>
    <row r="42" customFormat="false" ht="15" hidden="false" customHeight="true" outlineLevel="0" collapsed="false">
      <c r="A42" s="7" t="n">
        <v>39</v>
      </c>
      <c r="B42" s="6" t="s">
        <v>37</v>
      </c>
      <c r="C42" s="6" t="s">
        <v>204</v>
      </c>
      <c r="D42" s="6" t="s">
        <v>831</v>
      </c>
      <c r="E42" s="6" t="s">
        <v>392</v>
      </c>
      <c r="F42" s="6" t="s">
        <v>317</v>
      </c>
      <c r="G42" s="6" t="s">
        <v>832</v>
      </c>
      <c r="H42" s="6" t="s">
        <v>427</v>
      </c>
      <c r="I42" s="8" t="s">
        <v>833</v>
      </c>
      <c r="J42" s="13" t="s">
        <v>322</v>
      </c>
      <c r="K42" s="6"/>
    </row>
    <row r="43" customFormat="false" ht="28.5" hidden="false" customHeight="true" outlineLevel="0" collapsed="false">
      <c r="A43" s="7" t="n">
        <v>40</v>
      </c>
      <c r="B43" s="6" t="s">
        <v>37</v>
      </c>
      <c r="C43" s="6" t="s">
        <v>834</v>
      </c>
      <c r="D43" s="6" t="s">
        <v>835</v>
      </c>
      <c r="E43" s="6" t="s">
        <v>392</v>
      </c>
      <c r="F43" s="6" t="s">
        <v>317</v>
      </c>
      <c r="G43" s="6" t="s">
        <v>836</v>
      </c>
      <c r="H43" s="6" t="s">
        <v>837</v>
      </c>
      <c r="I43" s="8" t="s">
        <v>838</v>
      </c>
      <c r="J43" s="13" t="s">
        <v>322</v>
      </c>
      <c r="K43" s="6"/>
    </row>
    <row r="44" customFormat="false" ht="15" hidden="false" customHeight="true" outlineLevel="0" collapsed="false">
      <c r="A44" s="7" t="n">
        <v>41</v>
      </c>
      <c r="B44" s="6" t="s">
        <v>37</v>
      </c>
      <c r="C44" s="6" t="s">
        <v>93</v>
      </c>
      <c r="D44" s="6" t="s">
        <v>839</v>
      </c>
      <c r="E44" s="6" t="s">
        <v>401</v>
      </c>
      <c r="F44" s="6" t="s">
        <v>342</v>
      </c>
      <c r="G44" s="6" t="s">
        <v>840</v>
      </c>
      <c r="H44" s="6" t="s">
        <v>215</v>
      </c>
      <c r="I44" s="6" t="s">
        <v>199</v>
      </c>
      <c r="J44" s="13" t="s">
        <v>322</v>
      </c>
      <c r="K44" s="6"/>
    </row>
    <row r="45" customFormat="false" ht="28.5" hidden="false" customHeight="true" outlineLevel="0" collapsed="false">
      <c r="A45" s="7" t="n">
        <v>42</v>
      </c>
      <c r="B45" s="6" t="s">
        <v>37</v>
      </c>
      <c r="C45" s="6" t="s">
        <v>93</v>
      </c>
      <c r="D45" s="6" t="s">
        <v>841</v>
      </c>
      <c r="E45" s="6" t="s">
        <v>401</v>
      </c>
      <c r="F45" s="6" t="s">
        <v>342</v>
      </c>
      <c r="G45" s="6" t="s">
        <v>842</v>
      </c>
      <c r="H45" s="6" t="s">
        <v>160</v>
      </c>
      <c r="I45" s="6" t="s">
        <v>199</v>
      </c>
      <c r="J45" s="13" t="s">
        <v>322</v>
      </c>
      <c r="K45" s="6"/>
    </row>
    <row r="46" customFormat="false" ht="28.5" hidden="false" customHeight="true" outlineLevel="0" collapsed="false">
      <c r="A46" s="7" t="n">
        <v>43</v>
      </c>
      <c r="B46" s="6" t="s">
        <v>37</v>
      </c>
      <c r="C46" s="6" t="s">
        <v>93</v>
      </c>
      <c r="D46" s="6" t="s">
        <v>843</v>
      </c>
      <c r="E46" s="6" t="s">
        <v>456</v>
      </c>
      <c r="F46" s="6" t="s">
        <v>342</v>
      </c>
      <c r="G46" s="6" t="s">
        <v>844</v>
      </c>
      <c r="H46" s="6" t="s">
        <v>160</v>
      </c>
      <c r="I46" s="8" t="s">
        <v>845</v>
      </c>
      <c r="J46" s="13" t="s">
        <v>322</v>
      </c>
      <c r="K46" s="6"/>
    </row>
    <row r="47" customFormat="false" ht="15" hidden="false" customHeight="true" outlineLevel="0" collapsed="false">
      <c r="A47" s="7" t="n">
        <v>44</v>
      </c>
      <c r="B47" s="6" t="s">
        <v>37</v>
      </c>
      <c r="C47" s="6" t="s">
        <v>204</v>
      </c>
      <c r="D47" s="6" t="s">
        <v>846</v>
      </c>
      <c r="E47" s="6" t="s">
        <v>847</v>
      </c>
      <c r="F47" s="6" t="s">
        <v>342</v>
      </c>
      <c r="G47" s="6" t="s">
        <v>776</v>
      </c>
      <c r="H47" s="6" t="s">
        <v>160</v>
      </c>
      <c r="I47" s="6" t="s">
        <v>199</v>
      </c>
      <c r="J47" s="13" t="s">
        <v>322</v>
      </c>
      <c r="K47" s="6"/>
    </row>
    <row r="48" customFormat="false" ht="28.5" hidden="false" customHeight="true" outlineLevel="0" collapsed="false">
      <c r="A48" s="7" t="n">
        <v>45</v>
      </c>
      <c r="B48" s="6" t="s">
        <v>37</v>
      </c>
      <c r="C48" s="6" t="s">
        <v>204</v>
      </c>
      <c r="D48" s="6" t="s">
        <v>848</v>
      </c>
      <c r="E48" s="6" t="s">
        <v>849</v>
      </c>
      <c r="F48" s="6" t="s">
        <v>817</v>
      </c>
      <c r="G48" s="6" t="s">
        <v>850</v>
      </c>
      <c r="H48" s="6" t="s">
        <v>160</v>
      </c>
      <c r="I48" s="6" t="s">
        <v>199</v>
      </c>
      <c r="J48" s="13" t="s">
        <v>322</v>
      </c>
      <c r="K48" s="6"/>
    </row>
    <row r="49" customFormat="false" ht="28.5" hidden="false" customHeight="true" outlineLevel="0" collapsed="false">
      <c r="A49" s="7" t="n">
        <v>46</v>
      </c>
      <c r="B49" s="6" t="s">
        <v>37</v>
      </c>
      <c r="C49" s="6" t="s">
        <v>204</v>
      </c>
      <c r="D49" s="6" t="s">
        <v>851</v>
      </c>
      <c r="E49" s="6" t="s">
        <v>357</v>
      </c>
      <c r="F49" s="6" t="s">
        <v>358</v>
      </c>
      <c r="G49" s="6" t="s">
        <v>852</v>
      </c>
      <c r="H49" s="6" t="s">
        <v>160</v>
      </c>
      <c r="I49" s="8" t="s">
        <v>231</v>
      </c>
      <c r="J49" s="13" t="s">
        <v>322</v>
      </c>
      <c r="K49" s="6" t="s">
        <v>853</v>
      </c>
    </row>
    <row r="50" customFormat="false" ht="15" hidden="false" customHeight="true" outlineLevel="0" collapsed="false">
      <c r="A50" s="7" t="n">
        <v>47</v>
      </c>
      <c r="B50" s="6" t="s">
        <v>37</v>
      </c>
      <c r="C50" s="6" t="s">
        <v>204</v>
      </c>
      <c r="D50" s="6" t="s">
        <v>854</v>
      </c>
      <c r="E50" s="6" t="s">
        <v>357</v>
      </c>
      <c r="F50" s="6" t="s">
        <v>358</v>
      </c>
      <c r="G50" s="6" t="s">
        <v>177</v>
      </c>
      <c r="H50" s="6" t="s">
        <v>160</v>
      </c>
      <c r="I50" s="6" t="s">
        <v>199</v>
      </c>
      <c r="J50" s="13" t="s">
        <v>322</v>
      </c>
      <c r="K50" s="6" t="s">
        <v>853</v>
      </c>
    </row>
    <row r="51" customFormat="false" ht="15" hidden="false" customHeight="true" outlineLevel="0" collapsed="false">
      <c r="A51" s="7" t="n">
        <v>48</v>
      </c>
      <c r="B51" s="6" t="s">
        <v>37</v>
      </c>
      <c r="C51" s="6" t="s">
        <v>204</v>
      </c>
      <c r="D51" s="6" t="s">
        <v>855</v>
      </c>
      <c r="E51" s="6" t="s">
        <v>385</v>
      </c>
      <c r="F51" s="6" t="s">
        <v>358</v>
      </c>
      <c r="G51" s="6" t="s">
        <v>177</v>
      </c>
      <c r="H51" s="6" t="s">
        <v>160</v>
      </c>
      <c r="I51" s="6" t="s">
        <v>199</v>
      </c>
      <c r="J51" s="13" t="s">
        <v>322</v>
      </c>
      <c r="K51" s="6" t="s">
        <v>853</v>
      </c>
    </row>
    <row r="52" customFormat="false" ht="15" hidden="false" customHeight="true" outlineLevel="0" collapsed="false">
      <c r="A52" s="7" t="n">
        <v>49</v>
      </c>
      <c r="B52" s="6" t="s">
        <v>37</v>
      </c>
      <c r="C52" s="6" t="s">
        <v>93</v>
      </c>
      <c r="D52" s="6" t="s">
        <v>856</v>
      </c>
      <c r="E52" s="6" t="s">
        <v>814</v>
      </c>
      <c r="F52" s="6" t="s">
        <v>342</v>
      </c>
      <c r="G52" s="6" t="s">
        <v>857</v>
      </c>
      <c r="H52" s="6" t="s">
        <v>160</v>
      </c>
      <c r="I52" s="8" t="s">
        <v>845</v>
      </c>
      <c r="J52" s="13" t="s">
        <v>370</v>
      </c>
      <c r="K52" s="6"/>
    </row>
    <row r="53" customFormat="false" ht="15" hidden="false" customHeight="true" outlineLevel="0" collapsed="false">
      <c r="A53" s="7" t="n">
        <v>50</v>
      </c>
      <c r="B53" s="6" t="s">
        <v>37</v>
      </c>
      <c r="C53" s="6" t="s">
        <v>93</v>
      </c>
      <c r="D53" s="6" t="s">
        <v>858</v>
      </c>
      <c r="E53" s="6" t="s">
        <v>522</v>
      </c>
      <c r="F53" s="6" t="s">
        <v>317</v>
      </c>
      <c r="G53" s="6" t="s">
        <v>859</v>
      </c>
      <c r="H53" s="6" t="s">
        <v>104</v>
      </c>
      <c r="I53" s="6" t="s">
        <v>199</v>
      </c>
      <c r="J53" s="13" t="s">
        <v>370</v>
      </c>
      <c r="K53" s="6"/>
    </row>
    <row r="54" customFormat="false" ht="28.5" hidden="false" customHeight="true" outlineLevel="0" collapsed="false">
      <c r="A54" s="7" t="n">
        <v>51</v>
      </c>
      <c r="B54" s="6" t="s">
        <v>37</v>
      </c>
      <c r="C54" s="6" t="s">
        <v>204</v>
      </c>
      <c r="D54" s="6" t="s">
        <v>860</v>
      </c>
      <c r="E54" s="6" t="s">
        <v>861</v>
      </c>
      <c r="F54" s="6" t="s">
        <v>358</v>
      </c>
      <c r="G54" s="6" t="s">
        <v>862</v>
      </c>
      <c r="H54" s="6" t="s">
        <v>160</v>
      </c>
      <c r="I54" s="6" t="s">
        <v>199</v>
      </c>
      <c r="J54" s="13" t="s">
        <v>370</v>
      </c>
      <c r="K54" s="6"/>
    </row>
    <row r="55" customFormat="false" ht="15" hidden="false" customHeight="true" outlineLevel="0" collapsed="false">
      <c r="A55" s="7" t="n">
        <v>52</v>
      </c>
      <c r="B55" s="6" t="s">
        <v>37</v>
      </c>
      <c r="C55" s="6" t="s">
        <v>93</v>
      </c>
      <c r="D55" s="6" t="s">
        <v>863</v>
      </c>
      <c r="E55" s="6" t="s">
        <v>456</v>
      </c>
      <c r="F55" s="6" t="s">
        <v>342</v>
      </c>
      <c r="G55" s="6" t="s">
        <v>862</v>
      </c>
      <c r="H55" s="6" t="s">
        <v>160</v>
      </c>
      <c r="I55" s="6" t="s">
        <v>199</v>
      </c>
      <c r="J55" s="13" t="s">
        <v>370</v>
      </c>
      <c r="K55" s="6"/>
    </row>
    <row r="56" customFormat="false" ht="15" hidden="false" customHeight="true" outlineLevel="0" collapsed="false">
      <c r="A56" s="7" t="n">
        <v>53</v>
      </c>
      <c r="B56" s="6" t="s">
        <v>37</v>
      </c>
      <c r="C56" s="6" t="s">
        <v>864</v>
      </c>
      <c r="D56" s="6" t="s">
        <v>865</v>
      </c>
      <c r="E56" s="6" t="s">
        <v>866</v>
      </c>
      <c r="F56" s="6" t="s">
        <v>342</v>
      </c>
      <c r="G56" s="6" t="s">
        <v>862</v>
      </c>
      <c r="H56" s="6" t="s">
        <v>160</v>
      </c>
      <c r="I56" s="6" t="s">
        <v>199</v>
      </c>
      <c r="J56" s="13" t="s">
        <v>370</v>
      </c>
      <c r="K56" s="6"/>
    </row>
    <row r="57" customFormat="false" ht="28.5" hidden="false" customHeight="true" outlineLevel="0" collapsed="false">
      <c r="A57" s="7" t="n">
        <v>54</v>
      </c>
      <c r="B57" s="6" t="s">
        <v>38</v>
      </c>
      <c r="C57" s="6" t="s">
        <v>38</v>
      </c>
      <c r="D57" s="6" t="s">
        <v>208</v>
      </c>
      <c r="E57" s="6" t="s">
        <v>800</v>
      </c>
      <c r="F57" s="6" t="s">
        <v>342</v>
      </c>
      <c r="G57" s="6" t="s">
        <v>209</v>
      </c>
      <c r="H57" s="6" t="s">
        <v>160</v>
      </c>
      <c r="I57" s="8" t="s">
        <v>813</v>
      </c>
      <c r="J57" s="13" t="s">
        <v>395</v>
      </c>
      <c r="K57" s="6" t="s">
        <v>175</v>
      </c>
    </row>
    <row r="58" customFormat="false" ht="28.5" hidden="false" customHeight="true" outlineLevel="0" collapsed="false">
      <c r="A58" s="7" t="n">
        <v>55</v>
      </c>
      <c r="B58" s="6" t="s">
        <v>38</v>
      </c>
      <c r="C58" s="6" t="s">
        <v>38</v>
      </c>
      <c r="D58" s="6" t="s">
        <v>210</v>
      </c>
      <c r="E58" s="6" t="s">
        <v>867</v>
      </c>
      <c r="F58" s="6" t="s">
        <v>342</v>
      </c>
      <c r="G58" s="6" t="s">
        <v>211</v>
      </c>
      <c r="H58" s="6" t="s">
        <v>160</v>
      </c>
      <c r="I58" s="8" t="s">
        <v>212</v>
      </c>
      <c r="J58" s="13" t="s">
        <v>395</v>
      </c>
      <c r="K58" s="6"/>
    </row>
    <row r="59" customFormat="false" ht="28.5" hidden="false" customHeight="true" outlineLevel="0" collapsed="false">
      <c r="A59" s="7" t="n">
        <v>56</v>
      </c>
      <c r="B59" s="6" t="s">
        <v>38</v>
      </c>
      <c r="C59" s="6" t="s">
        <v>38</v>
      </c>
      <c r="D59" s="6" t="s">
        <v>213</v>
      </c>
      <c r="E59" s="6" t="s">
        <v>516</v>
      </c>
      <c r="F59" s="6" t="s">
        <v>342</v>
      </c>
      <c r="G59" s="6" t="s">
        <v>214</v>
      </c>
      <c r="H59" s="6" t="s">
        <v>215</v>
      </c>
      <c r="I59" s="8" t="s">
        <v>216</v>
      </c>
      <c r="J59" s="13" t="s">
        <v>395</v>
      </c>
      <c r="K59" s="6"/>
    </row>
    <row r="60" customFormat="false" ht="15" hidden="false" customHeight="true" outlineLevel="0" collapsed="false">
      <c r="A60" s="7" t="n">
        <v>57</v>
      </c>
      <c r="B60" s="6" t="s">
        <v>38</v>
      </c>
      <c r="C60" s="6" t="s">
        <v>38</v>
      </c>
      <c r="D60" s="6" t="s">
        <v>217</v>
      </c>
      <c r="E60" s="6" t="s">
        <v>672</v>
      </c>
      <c r="F60" s="6" t="s">
        <v>317</v>
      </c>
      <c r="G60" s="6" t="s">
        <v>218</v>
      </c>
      <c r="H60" s="6" t="s">
        <v>160</v>
      </c>
      <c r="I60" s="8" t="s">
        <v>868</v>
      </c>
      <c r="J60" s="13" t="s">
        <v>395</v>
      </c>
      <c r="K60" s="6" t="s">
        <v>219</v>
      </c>
    </row>
    <row r="61" customFormat="false" ht="15" hidden="false" customHeight="true" outlineLevel="0" collapsed="false">
      <c r="A61" s="7" t="n">
        <v>58</v>
      </c>
      <c r="B61" s="6" t="s">
        <v>38</v>
      </c>
      <c r="C61" s="6" t="s">
        <v>38</v>
      </c>
      <c r="D61" s="6" t="s">
        <v>220</v>
      </c>
      <c r="E61" s="6" t="s">
        <v>672</v>
      </c>
      <c r="F61" s="6" t="s">
        <v>317</v>
      </c>
      <c r="G61" s="6" t="s">
        <v>221</v>
      </c>
      <c r="H61" s="6" t="s">
        <v>160</v>
      </c>
      <c r="I61" s="8" t="s">
        <v>222</v>
      </c>
      <c r="J61" s="13" t="s">
        <v>395</v>
      </c>
      <c r="K61" s="6"/>
    </row>
    <row r="62" customFormat="false" ht="28.5" hidden="false" customHeight="true" outlineLevel="0" collapsed="false">
      <c r="A62" s="7" t="n">
        <v>59</v>
      </c>
      <c r="B62" s="6" t="s">
        <v>38</v>
      </c>
      <c r="C62" s="6" t="s">
        <v>38</v>
      </c>
      <c r="D62" s="6" t="s">
        <v>223</v>
      </c>
      <c r="E62" s="6" t="s">
        <v>522</v>
      </c>
      <c r="F62" s="6" t="s">
        <v>317</v>
      </c>
      <c r="G62" s="6" t="s">
        <v>224</v>
      </c>
      <c r="H62" s="6" t="s">
        <v>160</v>
      </c>
      <c r="I62" s="8" t="s">
        <v>869</v>
      </c>
      <c r="J62" s="13" t="s">
        <v>395</v>
      </c>
      <c r="K62" s="6" t="s">
        <v>225</v>
      </c>
    </row>
    <row r="63" customFormat="false" ht="15" hidden="false" customHeight="true" outlineLevel="0" collapsed="false">
      <c r="A63" s="7" t="n">
        <v>60</v>
      </c>
      <c r="B63" s="6" t="s">
        <v>38</v>
      </c>
      <c r="C63" s="6" t="s">
        <v>38</v>
      </c>
      <c r="D63" s="6" t="s">
        <v>226</v>
      </c>
      <c r="E63" s="6" t="s">
        <v>870</v>
      </c>
      <c r="F63" s="6" t="s">
        <v>317</v>
      </c>
      <c r="G63" s="6" t="s">
        <v>227</v>
      </c>
      <c r="H63" s="6" t="s">
        <v>228</v>
      </c>
      <c r="I63" s="6" t="s">
        <v>199</v>
      </c>
      <c r="J63" s="13" t="s">
        <v>395</v>
      </c>
      <c r="K63" s="6"/>
    </row>
    <row r="64" customFormat="false" ht="28.5" hidden="false" customHeight="true" outlineLevel="0" collapsed="false">
      <c r="A64" s="7" t="n">
        <v>61</v>
      </c>
      <c r="B64" s="6" t="s">
        <v>38</v>
      </c>
      <c r="C64" s="6" t="s">
        <v>38</v>
      </c>
      <c r="D64" s="6" t="s">
        <v>229</v>
      </c>
      <c r="E64" s="6" t="s">
        <v>522</v>
      </c>
      <c r="F64" s="6" t="s">
        <v>317</v>
      </c>
      <c r="G64" s="6" t="s">
        <v>230</v>
      </c>
      <c r="H64" s="6" t="s">
        <v>104</v>
      </c>
      <c r="I64" s="8" t="s">
        <v>231</v>
      </c>
      <c r="J64" s="13" t="s">
        <v>395</v>
      </c>
      <c r="K64" s="6"/>
    </row>
    <row r="65" customFormat="false" ht="15" hidden="false" customHeight="true" outlineLevel="0" collapsed="false">
      <c r="A65" s="7" t="n">
        <v>62</v>
      </c>
      <c r="B65" s="6" t="s">
        <v>38</v>
      </c>
      <c r="C65" s="6" t="s">
        <v>38</v>
      </c>
      <c r="D65" s="6" t="s">
        <v>871</v>
      </c>
      <c r="E65" s="6" t="s">
        <v>516</v>
      </c>
      <c r="F65" s="6" t="s">
        <v>342</v>
      </c>
      <c r="G65" s="6" t="s">
        <v>872</v>
      </c>
      <c r="H65" s="6" t="s">
        <v>215</v>
      </c>
      <c r="I65" s="6" t="s">
        <v>199</v>
      </c>
      <c r="J65" s="13" t="s">
        <v>322</v>
      </c>
      <c r="K65" s="6"/>
    </row>
    <row r="66" customFormat="false" ht="15" hidden="false" customHeight="true" outlineLevel="0" collapsed="false">
      <c r="A66" s="7" t="n">
        <v>63</v>
      </c>
      <c r="B66" s="6" t="s">
        <v>38</v>
      </c>
      <c r="C66" s="6" t="s">
        <v>38</v>
      </c>
      <c r="D66" s="6" t="s">
        <v>873</v>
      </c>
      <c r="E66" s="6" t="s">
        <v>672</v>
      </c>
      <c r="F66" s="6" t="s">
        <v>317</v>
      </c>
      <c r="G66" s="6" t="s">
        <v>832</v>
      </c>
      <c r="H66" s="6" t="s">
        <v>160</v>
      </c>
      <c r="I66" s="6" t="s">
        <v>199</v>
      </c>
      <c r="J66" s="13" t="s">
        <v>322</v>
      </c>
      <c r="K66" s="6"/>
    </row>
    <row r="67" customFormat="false" ht="15" hidden="false" customHeight="true" outlineLevel="0" collapsed="false">
      <c r="A67" s="7" t="n">
        <v>64</v>
      </c>
      <c r="B67" s="6" t="s">
        <v>38</v>
      </c>
      <c r="C67" s="6" t="s">
        <v>38</v>
      </c>
      <c r="D67" s="6" t="s">
        <v>874</v>
      </c>
      <c r="E67" s="6" t="s">
        <v>526</v>
      </c>
      <c r="F67" s="6" t="s">
        <v>317</v>
      </c>
      <c r="G67" s="6" t="s">
        <v>875</v>
      </c>
      <c r="H67" s="6" t="s">
        <v>160</v>
      </c>
      <c r="I67" s="6" t="s">
        <v>199</v>
      </c>
      <c r="J67" s="13" t="s">
        <v>322</v>
      </c>
      <c r="K67" s="6"/>
    </row>
    <row r="68" customFormat="false" ht="15" hidden="false" customHeight="true" outlineLevel="0" collapsed="false">
      <c r="A68" s="7" t="n">
        <v>65</v>
      </c>
      <c r="B68" s="6" t="s">
        <v>38</v>
      </c>
      <c r="C68" s="6" t="s">
        <v>38</v>
      </c>
      <c r="D68" s="6" t="s">
        <v>876</v>
      </c>
      <c r="E68" s="6" t="s">
        <v>442</v>
      </c>
      <c r="F68" s="6" t="s">
        <v>317</v>
      </c>
      <c r="G68" s="6" t="s">
        <v>832</v>
      </c>
      <c r="H68" s="6" t="s">
        <v>160</v>
      </c>
      <c r="I68" s="6" t="s">
        <v>199</v>
      </c>
      <c r="J68" s="13" t="s">
        <v>322</v>
      </c>
      <c r="K68" s="6"/>
    </row>
    <row r="69" customFormat="false" ht="15" hidden="false" customHeight="true" outlineLevel="0" collapsed="false">
      <c r="A69" s="7" t="n">
        <v>66</v>
      </c>
      <c r="B69" s="6" t="s">
        <v>38</v>
      </c>
      <c r="C69" s="6" t="s">
        <v>38</v>
      </c>
      <c r="D69" s="6" t="s">
        <v>877</v>
      </c>
      <c r="E69" s="6" t="s">
        <v>516</v>
      </c>
      <c r="F69" s="6" t="s">
        <v>342</v>
      </c>
      <c r="G69" s="6" t="s">
        <v>878</v>
      </c>
      <c r="H69" s="6" t="s">
        <v>879</v>
      </c>
      <c r="I69" s="8" t="s">
        <v>880</v>
      </c>
      <c r="J69" s="13" t="s">
        <v>322</v>
      </c>
      <c r="K69" s="6"/>
    </row>
    <row r="70" customFormat="false" ht="15" hidden="false" customHeight="true" outlineLevel="0" collapsed="false">
      <c r="A70" s="7" t="n">
        <v>67</v>
      </c>
      <c r="B70" s="6" t="s">
        <v>38</v>
      </c>
      <c r="C70" s="6" t="s">
        <v>38</v>
      </c>
      <c r="D70" s="6" t="s">
        <v>881</v>
      </c>
      <c r="E70" s="6" t="s">
        <v>385</v>
      </c>
      <c r="F70" s="6" t="s">
        <v>358</v>
      </c>
      <c r="G70" s="6" t="s">
        <v>177</v>
      </c>
      <c r="H70" s="6" t="s">
        <v>160</v>
      </c>
      <c r="I70" s="6" t="s">
        <v>199</v>
      </c>
      <c r="J70" s="13" t="s">
        <v>322</v>
      </c>
      <c r="K70" s="6" t="s">
        <v>853</v>
      </c>
    </row>
    <row r="71" customFormat="false" ht="15" hidden="false" customHeight="true" outlineLevel="0" collapsed="false">
      <c r="A71" s="7" t="n">
        <v>68</v>
      </c>
      <c r="B71" s="6" t="s">
        <v>38</v>
      </c>
      <c r="C71" s="6" t="s">
        <v>38</v>
      </c>
      <c r="D71" s="6" t="s">
        <v>882</v>
      </c>
      <c r="E71" s="6" t="s">
        <v>522</v>
      </c>
      <c r="F71" s="6" t="s">
        <v>317</v>
      </c>
      <c r="G71" s="6" t="s">
        <v>859</v>
      </c>
      <c r="H71" s="6" t="s">
        <v>104</v>
      </c>
      <c r="I71" s="6" t="s">
        <v>199</v>
      </c>
      <c r="J71" s="13" t="s">
        <v>370</v>
      </c>
      <c r="K71" s="6"/>
    </row>
    <row r="72" customFormat="false" ht="28.5" hidden="false" customHeight="true" outlineLevel="0" collapsed="false">
      <c r="A72" s="7" t="n">
        <v>69</v>
      </c>
      <c r="B72" s="6" t="s">
        <v>39</v>
      </c>
      <c r="C72" s="6" t="s">
        <v>233</v>
      </c>
      <c r="D72" s="6" t="s">
        <v>232</v>
      </c>
      <c r="E72" s="6" t="s">
        <v>604</v>
      </c>
      <c r="F72" s="6" t="s">
        <v>342</v>
      </c>
      <c r="G72" s="6" t="s">
        <v>174</v>
      </c>
      <c r="H72" s="6" t="s">
        <v>160</v>
      </c>
      <c r="I72" s="6" t="s">
        <v>199</v>
      </c>
      <c r="J72" s="13" t="s">
        <v>395</v>
      </c>
      <c r="K72" s="6"/>
    </row>
    <row r="73" customFormat="false" ht="28.5" hidden="false" customHeight="true" outlineLevel="0" collapsed="false">
      <c r="A73" s="7" t="n">
        <v>70</v>
      </c>
      <c r="B73" s="6" t="s">
        <v>39</v>
      </c>
      <c r="C73" s="6" t="s">
        <v>233</v>
      </c>
      <c r="D73" s="6" t="s">
        <v>234</v>
      </c>
      <c r="E73" s="6" t="s">
        <v>769</v>
      </c>
      <c r="F73" s="6" t="s">
        <v>317</v>
      </c>
      <c r="G73" s="6" t="s">
        <v>235</v>
      </c>
      <c r="H73" s="6" t="s">
        <v>236</v>
      </c>
      <c r="I73" s="8" t="s">
        <v>883</v>
      </c>
      <c r="J73" s="13" t="s">
        <v>395</v>
      </c>
      <c r="K73" s="6" t="s">
        <v>237</v>
      </c>
    </row>
    <row r="74" customFormat="false" ht="15" hidden="false" customHeight="true" outlineLevel="0" collapsed="false">
      <c r="A74" s="7" t="n">
        <v>71</v>
      </c>
      <c r="B74" s="6" t="s">
        <v>39</v>
      </c>
      <c r="C74" s="6" t="s">
        <v>233</v>
      </c>
      <c r="D74" s="6" t="s">
        <v>238</v>
      </c>
      <c r="E74" s="6" t="s">
        <v>884</v>
      </c>
      <c r="F74" s="6" t="s">
        <v>519</v>
      </c>
      <c r="G74" s="6" t="s">
        <v>177</v>
      </c>
      <c r="H74" s="6" t="s">
        <v>160</v>
      </c>
      <c r="I74" s="8" t="s">
        <v>239</v>
      </c>
      <c r="J74" s="13" t="s">
        <v>395</v>
      </c>
      <c r="K74" s="6"/>
    </row>
    <row r="75" customFormat="false" ht="15" hidden="false" customHeight="true" outlineLevel="0" collapsed="false">
      <c r="A75" s="7" t="n">
        <v>72</v>
      </c>
      <c r="B75" s="6" t="s">
        <v>39</v>
      </c>
      <c r="C75" s="6" t="s">
        <v>233</v>
      </c>
      <c r="D75" s="6" t="s">
        <v>240</v>
      </c>
      <c r="E75" s="6" t="s">
        <v>885</v>
      </c>
      <c r="F75" s="6" t="s">
        <v>817</v>
      </c>
      <c r="G75" s="6" t="s">
        <v>177</v>
      </c>
      <c r="H75" s="6" t="s">
        <v>160</v>
      </c>
      <c r="I75" s="8" t="s">
        <v>241</v>
      </c>
      <c r="J75" s="13" t="s">
        <v>395</v>
      </c>
      <c r="K75" s="6"/>
    </row>
    <row r="76" customFormat="false" ht="28.5" hidden="false" customHeight="true" outlineLevel="0" collapsed="false">
      <c r="A76" s="7" t="n">
        <v>73</v>
      </c>
      <c r="B76" s="6" t="s">
        <v>39</v>
      </c>
      <c r="C76" s="6" t="s">
        <v>243</v>
      </c>
      <c r="D76" s="6" t="s">
        <v>242</v>
      </c>
      <c r="E76" s="6" t="s">
        <v>886</v>
      </c>
      <c r="F76" s="6" t="s">
        <v>887</v>
      </c>
      <c r="G76" s="6" t="s">
        <v>244</v>
      </c>
      <c r="H76" s="6" t="s">
        <v>215</v>
      </c>
      <c r="I76" s="6" t="s">
        <v>888</v>
      </c>
      <c r="J76" s="13" t="s">
        <v>395</v>
      </c>
      <c r="K76" s="6" t="s">
        <v>245</v>
      </c>
    </row>
    <row r="77" customFormat="false" ht="28.5" hidden="false" customHeight="true" outlineLevel="0" collapsed="false">
      <c r="A77" s="7" t="n">
        <v>74</v>
      </c>
      <c r="B77" s="6" t="s">
        <v>39</v>
      </c>
      <c r="C77" s="6" t="s">
        <v>233</v>
      </c>
      <c r="D77" s="6" t="s">
        <v>246</v>
      </c>
      <c r="E77" s="6" t="s">
        <v>889</v>
      </c>
      <c r="F77" s="6" t="s">
        <v>358</v>
      </c>
      <c r="G77" s="6" t="s">
        <v>247</v>
      </c>
      <c r="H77" s="6" t="s">
        <v>248</v>
      </c>
      <c r="I77" s="6" t="s">
        <v>199</v>
      </c>
      <c r="J77" s="13" t="s">
        <v>395</v>
      </c>
      <c r="K77" s="6"/>
    </row>
    <row r="78" customFormat="false" ht="28.5" hidden="false" customHeight="true" outlineLevel="0" collapsed="false">
      <c r="A78" s="7" t="n">
        <v>75</v>
      </c>
      <c r="B78" s="6" t="s">
        <v>39</v>
      </c>
      <c r="C78" s="6" t="s">
        <v>233</v>
      </c>
      <c r="D78" s="6" t="s">
        <v>249</v>
      </c>
      <c r="E78" s="6" t="s">
        <v>890</v>
      </c>
      <c r="F78" s="6" t="s">
        <v>358</v>
      </c>
      <c r="G78" s="6" t="s">
        <v>250</v>
      </c>
      <c r="H78" s="6" t="s">
        <v>160</v>
      </c>
      <c r="I78" s="6" t="s">
        <v>199</v>
      </c>
      <c r="J78" s="13" t="s">
        <v>395</v>
      </c>
      <c r="K78" s="6"/>
    </row>
    <row r="79" customFormat="false" ht="15" hidden="false" customHeight="true" outlineLevel="0" collapsed="false">
      <c r="A79" s="7" t="n">
        <v>76</v>
      </c>
      <c r="B79" s="6" t="s">
        <v>39</v>
      </c>
      <c r="C79" s="6" t="s">
        <v>233</v>
      </c>
      <c r="D79" s="6" t="s">
        <v>891</v>
      </c>
      <c r="E79" s="6" t="s">
        <v>604</v>
      </c>
      <c r="F79" s="6" t="s">
        <v>342</v>
      </c>
      <c r="G79" s="6" t="s">
        <v>892</v>
      </c>
      <c r="H79" s="6" t="s">
        <v>215</v>
      </c>
      <c r="I79" s="8" t="s">
        <v>893</v>
      </c>
      <c r="J79" s="13" t="s">
        <v>322</v>
      </c>
      <c r="K79" s="6" t="s">
        <v>894</v>
      </c>
    </row>
    <row r="80" customFormat="false" ht="15" hidden="false" customHeight="true" outlineLevel="0" collapsed="false">
      <c r="A80" s="7" t="n">
        <v>77</v>
      </c>
      <c r="B80" s="6" t="s">
        <v>39</v>
      </c>
      <c r="C80" s="6" t="s">
        <v>233</v>
      </c>
      <c r="D80" s="6" t="s">
        <v>895</v>
      </c>
      <c r="E80" s="6" t="s">
        <v>590</v>
      </c>
      <c r="F80" s="6" t="s">
        <v>342</v>
      </c>
      <c r="G80" s="6" t="s">
        <v>896</v>
      </c>
      <c r="H80" s="6" t="s">
        <v>160</v>
      </c>
      <c r="I80" s="6" t="s">
        <v>199</v>
      </c>
      <c r="J80" s="13" t="s">
        <v>322</v>
      </c>
      <c r="K80" s="6"/>
    </row>
    <row r="81" customFormat="false" ht="15" hidden="false" customHeight="true" outlineLevel="0" collapsed="false">
      <c r="A81" s="7" t="n">
        <v>78</v>
      </c>
      <c r="B81" s="6" t="s">
        <v>39</v>
      </c>
      <c r="C81" s="6" t="s">
        <v>233</v>
      </c>
      <c r="D81" s="6" t="s">
        <v>897</v>
      </c>
      <c r="E81" s="6" t="s">
        <v>385</v>
      </c>
      <c r="F81" s="6" t="s">
        <v>358</v>
      </c>
      <c r="G81" s="6" t="s">
        <v>898</v>
      </c>
      <c r="H81" s="6" t="s">
        <v>160</v>
      </c>
      <c r="I81" s="6" t="s">
        <v>199</v>
      </c>
      <c r="J81" s="13" t="s">
        <v>322</v>
      </c>
      <c r="K81" s="6"/>
    </row>
    <row r="82" customFormat="false" ht="15" hidden="false" customHeight="true" outlineLevel="0" collapsed="false">
      <c r="A82" s="7" t="n">
        <v>79</v>
      </c>
      <c r="B82" s="6" t="s">
        <v>39</v>
      </c>
      <c r="C82" s="6" t="s">
        <v>233</v>
      </c>
      <c r="D82" s="6" t="s">
        <v>899</v>
      </c>
      <c r="E82" s="6" t="s">
        <v>900</v>
      </c>
      <c r="F82" s="6" t="s">
        <v>342</v>
      </c>
      <c r="G82" s="6" t="s">
        <v>901</v>
      </c>
      <c r="H82" s="8" t="s">
        <v>902</v>
      </c>
      <c r="I82" s="8" t="s">
        <v>903</v>
      </c>
      <c r="J82" s="13" t="s">
        <v>322</v>
      </c>
      <c r="K82" s="6"/>
    </row>
    <row r="83" customFormat="false" ht="15" hidden="false" customHeight="true" outlineLevel="0" collapsed="false">
      <c r="A83" s="7" t="n">
        <v>80</v>
      </c>
      <c r="B83" s="6" t="s">
        <v>39</v>
      </c>
      <c r="C83" s="6" t="s">
        <v>582</v>
      </c>
      <c r="D83" s="6" t="s">
        <v>904</v>
      </c>
      <c r="E83" s="6" t="s">
        <v>905</v>
      </c>
      <c r="F83" s="6" t="s">
        <v>342</v>
      </c>
      <c r="G83" s="6" t="s">
        <v>776</v>
      </c>
      <c r="H83" s="6" t="s">
        <v>160</v>
      </c>
      <c r="I83" s="6" t="s">
        <v>199</v>
      </c>
      <c r="J83" s="13" t="s">
        <v>322</v>
      </c>
      <c r="K83" s="6"/>
    </row>
    <row r="84" customFormat="false" ht="15" hidden="false" customHeight="true" outlineLevel="0" collapsed="false">
      <c r="A84" s="7" t="n">
        <v>81</v>
      </c>
      <c r="B84" s="6" t="s">
        <v>39</v>
      </c>
      <c r="C84" s="6" t="s">
        <v>233</v>
      </c>
      <c r="D84" s="6" t="s">
        <v>906</v>
      </c>
      <c r="E84" s="6" t="s">
        <v>900</v>
      </c>
      <c r="F84" s="6" t="s">
        <v>342</v>
      </c>
      <c r="G84" s="6" t="s">
        <v>907</v>
      </c>
      <c r="H84" s="6" t="s">
        <v>160</v>
      </c>
      <c r="I84" s="6" t="s">
        <v>199</v>
      </c>
      <c r="J84" s="13" t="s">
        <v>370</v>
      </c>
      <c r="K84" s="6"/>
    </row>
    <row r="85" customFormat="false" ht="28.5" hidden="false" customHeight="true" outlineLevel="0" collapsed="false">
      <c r="A85" s="7" t="n">
        <v>82</v>
      </c>
      <c r="B85" s="6" t="s">
        <v>39</v>
      </c>
      <c r="C85" s="6" t="s">
        <v>233</v>
      </c>
      <c r="D85" s="6" t="s">
        <v>908</v>
      </c>
      <c r="E85" s="6" t="s">
        <v>909</v>
      </c>
      <c r="F85" s="6" t="s">
        <v>817</v>
      </c>
      <c r="G85" s="6" t="s">
        <v>910</v>
      </c>
      <c r="H85" s="6" t="s">
        <v>160</v>
      </c>
      <c r="I85" s="8" t="s">
        <v>911</v>
      </c>
      <c r="J85" s="13" t="s">
        <v>370</v>
      </c>
      <c r="K85" s="6"/>
    </row>
    <row r="86" customFormat="false" ht="15" hidden="false" customHeight="true" outlineLevel="0" collapsed="false">
      <c r="A86" s="7" t="n">
        <v>83</v>
      </c>
      <c r="B86" s="6" t="s">
        <v>39</v>
      </c>
      <c r="C86" s="6" t="s">
        <v>233</v>
      </c>
      <c r="D86" s="6" t="s">
        <v>912</v>
      </c>
      <c r="E86" s="6" t="s">
        <v>385</v>
      </c>
      <c r="F86" s="6" t="s">
        <v>358</v>
      </c>
      <c r="G86" s="6" t="s">
        <v>862</v>
      </c>
      <c r="H86" s="6" t="s">
        <v>160</v>
      </c>
      <c r="I86" s="6" t="s">
        <v>199</v>
      </c>
      <c r="J86" s="13" t="s">
        <v>370</v>
      </c>
      <c r="K86" s="6"/>
    </row>
    <row r="87" customFormat="false" ht="28.5" hidden="false" customHeight="true" outlineLevel="0" collapsed="false">
      <c r="A87" s="7" t="n">
        <v>84</v>
      </c>
      <c r="B87" s="6" t="s">
        <v>40</v>
      </c>
      <c r="C87" s="6" t="s">
        <v>107</v>
      </c>
      <c r="D87" s="6" t="s">
        <v>251</v>
      </c>
      <c r="E87" s="6" t="s">
        <v>357</v>
      </c>
      <c r="F87" s="6" t="s">
        <v>358</v>
      </c>
      <c r="G87" s="6" t="s">
        <v>252</v>
      </c>
      <c r="H87" s="6" t="s">
        <v>253</v>
      </c>
      <c r="I87" s="8" t="s">
        <v>913</v>
      </c>
      <c r="J87" s="13" t="s">
        <v>395</v>
      </c>
      <c r="K87" s="6" t="s">
        <v>254</v>
      </c>
    </row>
    <row r="88" customFormat="false" ht="28.5" hidden="false" customHeight="true" outlineLevel="0" collapsed="false">
      <c r="A88" s="7" t="n">
        <v>85</v>
      </c>
      <c r="B88" s="6" t="s">
        <v>40</v>
      </c>
      <c r="C88" s="6" t="s">
        <v>107</v>
      </c>
      <c r="D88" s="6" t="s">
        <v>255</v>
      </c>
      <c r="E88" s="6" t="s">
        <v>914</v>
      </c>
      <c r="F88" s="6" t="s">
        <v>736</v>
      </c>
      <c r="G88" s="6" t="s">
        <v>256</v>
      </c>
      <c r="H88" s="6" t="s">
        <v>257</v>
      </c>
      <c r="I88" s="8" t="s">
        <v>915</v>
      </c>
      <c r="J88" s="13" t="s">
        <v>395</v>
      </c>
      <c r="K88" s="6" t="s">
        <v>258</v>
      </c>
    </row>
    <row r="89" customFormat="false" ht="15" hidden="false" customHeight="true" outlineLevel="0" collapsed="false">
      <c r="A89" s="7" t="n">
        <v>86</v>
      </c>
      <c r="B89" s="6" t="s">
        <v>40</v>
      </c>
      <c r="C89" s="6" t="s">
        <v>107</v>
      </c>
      <c r="D89" s="6" t="s">
        <v>259</v>
      </c>
      <c r="E89" s="8" t="s">
        <v>916</v>
      </c>
      <c r="F89" s="6" t="s">
        <v>917</v>
      </c>
      <c r="G89" s="6" t="s">
        <v>177</v>
      </c>
      <c r="H89" s="6" t="s">
        <v>160</v>
      </c>
      <c r="I89" s="6" t="s">
        <v>199</v>
      </c>
      <c r="J89" s="13" t="s">
        <v>395</v>
      </c>
      <c r="K89" s="6"/>
    </row>
    <row r="90" customFormat="false" ht="15" hidden="false" customHeight="true" outlineLevel="0" collapsed="false">
      <c r="A90" s="7" t="n">
        <v>87</v>
      </c>
      <c r="B90" s="6" t="s">
        <v>40</v>
      </c>
      <c r="C90" s="6" t="s">
        <v>107</v>
      </c>
      <c r="D90" s="6" t="s">
        <v>260</v>
      </c>
      <c r="E90" s="6" t="s">
        <v>918</v>
      </c>
      <c r="F90" s="6" t="s">
        <v>519</v>
      </c>
      <c r="G90" s="6" t="s">
        <v>177</v>
      </c>
      <c r="H90" s="6" t="s">
        <v>160</v>
      </c>
      <c r="I90" s="6" t="s">
        <v>199</v>
      </c>
      <c r="J90" s="13" t="s">
        <v>395</v>
      </c>
      <c r="K90" s="6"/>
    </row>
    <row r="91" customFormat="false" ht="15" hidden="false" customHeight="true" outlineLevel="0" collapsed="false">
      <c r="A91" s="7" t="n">
        <v>88</v>
      </c>
      <c r="B91" s="6" t="s">
        <v>40</v>
      </c>
      <c r="C91" s="6" t="s">
        <v>262</v>
      </c>
      <c r="D91" s="6" t="s">
        <v>261</v>
      </c>
      <c r="E91" s="6" t="s">
        <v>385</v>
      </c>
      <c r="F91" s="6" t="s">
        <v>358</v>
      </c>
      <c r="G91" s="6" t="s">
        <v>263</v>
      </c>
      <c r="H91" s="6" t="s">
        <v>160</v>
      </c>
      <c r="I91" s="6" t="s">
        <v>199</v>
      </c>
      <c r="J91" s="13" t="s">
        <v>395</v>
      </c>
      <c r="K91" s="6" t="s">
        <v>264</v>
      </c>
    </row>
    <row r="92" customFormat="false" ht="15" hidden="false" customHeight="true" outlineLevel="0" collapsed="false">
      <c r="A92" s="7" t="n">
        <v>89</v>
      </c>
      <c r="B92" s="6" t="s">
        <v>40</v>
      </c>
      <c r="C92" s="6" t="s">
        <v>107</v>
      </c>
      <c r="D92" s="6" t="s">
        <v>919</v>
      </c>
      <c r="E92" s="6" t="s">
        <v>920</v>
      </c>
      <c r="F92" s="6" t="s">
        <v>342</v>
      </c>
      <c r="G92" s="6" t="s">
        <v>878</v>
      </c>
      <c r="H92" s="6" t="s">
        <v>921</v>
      </c>
      <c r="I92" s="8" t="s">
        <v>922</v>
      </c>
      <c r="J92" s="13" t="s">
        <v>322</v>
      </c>
      <c r="K92" s="6"/>
    </row>
    <row r="93" customFormat="false" ht="15" hidden="false" customHeight="true" outlineLevel="0" collapsed="false">
      <c r="A93" s="7" t="n">
        <v>90</v>
      </c>
      <c r="B93" s="6" t="s">
        <v>40</v>
      </c>
      <c r="C93" s="6" t="s">
        <v>622</v>
      </c>
      <c r="D93" s="6" t="s">
        <v>923</v>
      </c>
      <c r="E93" s="6" t="s">
        <v>924</v>
      </c>
      <c r="F93" s="6" t="s">
        <v>342</v>
      </c>
      <c r="G93" s="6" t="s">
        <v>925</v>
      </c>
      <c r="H93" s="6" t="s">
        <v>160</v>
      </c>
      <c r="I93" s="6" t="s">
        <v>199</v>
      </c>
      <c r="J93" s="13" t="s">
        <v>322</v>
      </c>
      <c r="K93" s="6"/>
    </row>
    <row r="94" customFormat="false" ht="15" hidden="false" customHeight="true" outlineLevel="0" collapsed="false">
      <c r="A94" s="7" t="n">
        <v>91</v>
      </c>
      <c r="B94" s="6" t="s">
        <v>40</v>
      </c>
      <c r="C94" s="6" t="s">
        <v>107</v>
      </c>
      <c r="D94" s="6" t="s">
        <v>926</v>
      </c>
      <c r="E94" s="6" t="s">
        <v>927</v>
      </c>
      <c r="F94" s="6" t="s">
        <v>317</v>
      </c>
      <c r="G94" s="6" t="s">
        <v>832</v>
      </c>
      <c r="H94" s="8" t="s">
        <v>711</v>
      </c>
      <c r="I94" s="6" t="s">
        <v>199</v>
      </c>
      <c r="J94" s="13" t="s">
        <v>322</v>
      </c>
      <c r="K94" s="6"/>
    </row>
    <row r="95" customFormat="false" ht="28.5" hidden="false" customHeight="true" outlineLevel="0" collapsed="false">
      <c r="A95" s="7" t="n">
        <v>92</v>
      </c>
      <c r="B95" s="6" t="s">
        <v>40</v>
      </c>
      <c r="C95" s="6" t="s">
        <v>107</v>
      </c>
      <c r="D95" s="6" t="s">
        <v>928</v>
      </c>
      <c r="E95" s="6" t="s">
        <v>929</v>
      </c>
      <c r="F95" s="6" t="s">
        <v>317</v>
      </c>
      <c r="G95" s="6" t="s">
        <v>930</v>
      </c>
      <c r="H95" s="6" t="s">
        <v>931</v>
      </c>
      <c r="I95" s="8" t="s">
        <v>810</v>
      </c>
      <c r="J95" s="13" t="s">
        <v>322</v>
      </c>
      <c r="K95" s="6"/>
    </row>
    <row r="96" customFormat="false" ht="15" hidden="false" customHeight="true" outlineLevel="0" collapsed="false">
      <c r="A96" s="7" t="n">
        <v>93</v>
      </c>
      <c r="B96" s="6" t="s">
        <v>40</v>
      </c>
      <c r="C96" s="6" t="s">
        <v>622</v>
      </c>
      <c r="D96" s="6" t="s">
        <v>932</v>
      </c>
      <c r="E96" s="6" t="s">
        <v>357</v>
      </c>
      <c r="F96" s="6" t="s">
        <v>358</v>
      </c>
      <c r="G96" s="6" t="s">
        <v>177</v>
      </c>
      <c r="H96" s="6" t="s">
        <v>160</v>
      </c>
      <c r="I96" s="8" t="s">
        <v>933</v>
      </c>
      <c r="J96" s="13" t="s">
        <v>322</v>
      </c>
      <c r="K96" s="6" t="s">
        <v>853</v>
      </c>
    </row>
    <row r="97" customFormat="false" ht="15" hidden="false" customHeight="true" outlineLevel="0" collapsed="false">
      <c r="A97" s="7" t="n">
        <v>94</v>
      </c>
      <c r="B97" s="6" t="s">
        <v>40</v>
      </c>
      <c r="C97" s="6" t="s">
        <v>622</v>
      </c>
      <c r="D97" s="6" t="s">
        <v>934</v>
      </c>
      <c r="E97" s="6" t="s">
        <v>914</v>
      </c>
      <c r="F97" s="6" t="s">
        <v>358</v>
      </c>
      <c r="G97" s="6" t="s">
        <v>177</v>
      </c>
      <c r="H97" s="6" t="s">
        <v>160</v>
      </c>
      <c r="I97" s="6" t="s">
        <v>199</v>
      </c>
      <c r="J97" s="13" t="s">
        <v>322</v>
      </c>
      <c r="K97" s="6" t="s">
        <v>853</v>
      </c>
    </row>
    <row r="98" customFormat="false" ht="15" hidden="false" customHeight="true" outlineLevel="0" collapsed="false">
      <c r="A98" s="7" t="n">
        <v>95</v>
      </c>
      <c r="B98" s="6" t="s">
        <v>40</v>
      </c>
      <c r="C98" s="6" t="s">
        <v>112</v>
      </c>
      <c r="D98" s="6" t="s">
        <v>935</v>
      </c>
      <c r="E98" s="6" t="s">
        <v>385</v>
      </c>
      <c r="F98" s="6" t="s">
        <v>358</v>
      </c>
      <c r="G98" s="6" t="s">
        <v>805</v>
      </c>
      <c r="H98" s="6" t="s">
        <v>160</v>
      </c>
      <c r="I98" s="6" t="s">
        <v>199</v>
      </c>
      <c r="J98" s="13" t="s">
        <v>370</v>
      </c>
      <c r="K98" s="6"/>
    </row>
    <row r="99" customFormat="false" ht="15" hidden="false" customHeight="true" outlineLevel="0" collapsed="false">
      <c r="A99" s="7" t="n">
        <v>96</v>
      </c>
      <c r="B99" s="6" t="s">
        <v>40</v>
      </c>
      <c r="C99" s="6" t="s">
        <v>112</v>
      </c>
      <c r="D99" s="6" t="s">
        <v>936</v>
      </c>
      <c r="E99" s="6" t="s">
        <v>385</v>
      </c>
      <c r="F99" s="6" t="s">
        <v>358</v>
      </c>
      <c r="G99" s="6" t="s">
        <v>805</v>
      </c>
      <c r="H99" s="6" t="s">
        <v>160</v>
      </c>
      <c r="I99" s="6" t="s">
        <v>199</v>
      </c>
      <c r="J99" s="13" t="s">
        <v>370</v>
      </c>
      <c r="K99" s="6"/>
    </row>
    <row r="100" customFormat="false" ht="15" hidden="false" customHeight="true" outlineLevel="0" collapsed="false">
      <c r="A100" s="7" t="n">
        <v>97</v>
      </c>
      <c r="B100" s="6" t="s">
        <v>40</v>
      </c>
      <c r="C100" s="6" t="s">
        <v>937</v>
      </c>
      <c r="D100" s="6" t="s">
        <v>938</v>
      </c>
      <c r="E100" s="6" t="s">
        <v>385</v>
      </c>
      <c r="F100" s="6" t="s">
        <v>358</v>
      </c>
      <c r="G100" s="6" t="s">
        <v>805</v>
      </c>
      <c r="H100" s="6" t="s">
        <v>160</v>
      </c>
      <c r="I100" s="6" t="s">
        <v>199</v>
      </c>
      <c r="J100" s="13" t="s">
        <v>370</v>
      </c>
      <c r="K100" s="6"/>
    </row>
    <row r="101" customFormat="false" ht="15" hidden="false" customHeight="true" outlineLevel="0" collapsed="false">
      <c r="A101" s="7" t="n">
        <v>98</v>
      </c>
      <c r="B101" s="6" t="s">
        <v>40</v>
      </c>
      <c r="C101" s="6" t="s">
        <v>107</v>
      </c>
      <c r="D101" s="6" t="s">
        <v>939</v>
      </c>
      <c r="E101" s="8" t="s">
        <v>916</v>
      </c>
      <c r="F101" s="6" t="s">
        <v>817</v>
      </c>
      <c r="G101" s="6" t="s">
        <v>805</v>
      </c>
      <c r="H101" s="6" t="s">
        <v>160</v>
      </c>
      <c r="I101" s="6" t="s">
        <v>199</v>
      </c>
      <c r="J101" s="13" t="s">
        <v>370</v>
      </c>
      <c r="K101" s="6"/>
    </row>
    <row r="102" customFormat="false" ht="15" hidden="false" customHeight="true" outlineLevel="0" collapsed="false">
      <c r="A102" s="7" t="n">
        <v>99</v>
      </c>
      <c r="B102" s="6" t="s">
        <v>41</v>
      </c>
      <c r="C102" s="6" t="s">
        <v>139</v>
      </c>
      <c r="D102" s="6" t="s">
        <v>265</v>
      </c>
      <c r="E102" s="6" t="s">
        <v>940</v>
      </c>
      <c r="F102" s="6" t="s">
        <v>342</v>
      </c>
      <c r="G102" s="6" t="s">
        <v>174</v>
      </c>
      <c r="H102" s="6" t="s">
        <v>160</v>
      </c>
      <c r="I102" s="8" t="s">
        <v>266</v>
      </c>
      <c r="J102" s="13" t="s">
        <v>395</v>
      </c>
      <c r="K102" s="6"/>
    </row>
    <row r="103" customFormat="false" ht="28.5" hidden="false" customHeight="true" outlineLevel="0" collapsed="false">
      <c r="A103" s="7" t="n">
        <v>100</v>
      </c>
      <c r="B103" s="6" t="s">
        <v>41</v>
      </c>
      <c r="C103" s="6" t="s">
        <v>268</v>
      </c>
      <c r="D103" s="6" t="s">
        <v>267</v>
      </c>
      <c r="E103" s="6" t="s">
        <v>551</v>
      </c>
      <c r="F103" s="6" t="s">
        <v>317</v>
      </c>
      <c r="G103" s="6" t="s">
        <v>269</v>
      </c>
      <c r="H103" s="6" t="s">
        <v>160</v>
      </c>
      <c r="I103" s="8" t="s">
        <v>941</v>
      </c>
      <c r="J103" s="13" t="s">
        <v>395</v>
      </c>
      <c r="K103" s="6" t="s">
        <v>270</v>
      </c>
    </row>
    <row r="104" customFormat="false" ht="28.5" hidden="false" customHeight="true" outlineLevel="0" collapsed="false">
      <c r="A104" s="7" t="n">
        <v>101</v>
      </c>
      <c r="B104" s="6" t="s">
        <v>41</v>
      </c>
      <c r="C104" s="6" t="s">
        <v>272</v>
      </c>
      <c r="D104" s="6" t="s">
        <v>271</v>
      </c>
      <c r="E104" s="6" t="s">
        <v>551</v>
      </c>
      <c r="F104" s="6" t="s">
        <v>942</v>
      </c>
      <c r="G104" s="6" t="s">
        <v>273</v>
      </c>
      <c r="H104" s="6" t="s">
        <v>160</v>
      </c>
      <c r="I104" s="8" t="s">
        <v>943</v>
      </c>
      <c r="J104" s="13" t="s">
        <v>395</v>
      </c>
      <c r="K104" s="6" t="s">
        <v>274</v>
      </c>
    </row>
    <row r="105" customFormat="false" ht="28.5" hidden="false" customHeight="true" outlineLevel="0" collapsed="false">
      <c r="A105" s="7" t="n">
        <v>102</v>
      </c>
      <c r="B105" s="6" t="s">
        <v>41</v>
      </c>
      <c r="C105" s="6" t="s">
        <v>268</v>
      </c>
      <c r="D105" s="6" t="s">
        <v>275</v>
      </c>
      <c r="E105" s="6" t="s">
        <v>944</v>
      </c>
      <c r="F105" s="6" t="s">
        <v>317</v>
      </c>
      <c r="G105" s="6" t="s">
        <v>276</v>
      </c>
      <c r="H105" s="6" t="s">
        <v>160</v>
      </c>
      <c r="I105" s="6" t="s">
        <v>199</v>
      </c>
      <c r="J105" s="13" t="s">
        <v>395</v>
      </c>
      <c r="K105" s="6" t="s">
        <v>277</v>
      </c>
    </row>
    <row r="106" customFormat="false" ht="28.5" hidden="false" customHeight="true" outlineLevel="0" collapsed="false">
      <c r="A106" s="7" t="n">
        <v>103</v>
      </c>
      <c r="B106" s="6" t="s">
        <v>41</v>
      </c>
      <c r="C106" s="6" t="s">
        <v>139</v>
      </c>
      <c r="D106" s="6" t="s">
        <v>945</v>
      </c>
      <c r="E106" s="6" t="s">
        <v>946</v>
      </c>
      <c r="F106" s="6" t="s">
        <v>342</v>
      </c>
      <c r="G106" s="6" t="s">
        <v>947</v>
      </c>
      <c r="H106" s="6" t="s">
        <v>948</v>
      </c>
      <c r="I106" s="8" t="s">
        <v>949</v>
      </c>
      <c r="J106" s="13" t="s">
        <v>322</v>
      </c>
      <c r="K106" s="6" t="s">
        <v>950</v>
      </c>
    </row>
    <row r="107" customFormat="false" ht="15" hidden="false" customHeight="true" outlineLevel="0" collapsed="false">
      <c r="A107" s="7" t="n">
        <v>104</v>
      </c>
      <c r="B107" s="6" t="s">
        <v>41</v>
      </c>
      <c r="C107" s="6" t="s">
        <v>139</v>
      </c>
      <c r="D107" s="6" t="s">
        <v>951</v>
      </c>
      <c r="E107" s="6" t="s">
        <v>940</v>
      </c>
      <c r="F107" s="6" t="s">
        <v>342</v>
      </c>
      <c r="G107" s="6" t="s">
        <v>952</v>
      </c>
      <c r="H107" s="6" t="s">
        <v>160</v>
      </c>
      <c r="I107" s="6" t="s">
        <v>199</v>
      </c>
      <c r="J107" s="13" t="s">
        <v>322</v>
      </c>
      <c r="K107" s="6"/>
    </row>
    <row r="108" customFormat="false" ht="15" hidden="false" customHeight="true" outlineLevel="0" collapsed="false">
      <c r="A108" s="7" t="n">
        <v>105</v>
      </c>
      <c r="B108" s="6" t="s">
        <v>41</v>
      </c>
      <c r="C108" s="6" t="s">
        <v>139</v>
      </c>
      <c r="D108" s="6" t="s">
        <v>953</v>
      </c>
      <c r="E108" s="6" t="s">
        <v>526</v>
      </c>
      <c r="F108" s="6" t="s">
        <v>317</v>
      </c>
      <c r="G108" s="6" t="s">
        <v>954</v>
      </c>
      <c r="H108" s="6" t="s">
        <v>160</v>
      </c>
      <c r="I108" s="8" t="s">
        <v>830</v>
      </c>
      <c r="J108" s="13" t="s">
        <v>322</v>
      </c>
      <c r="K108" s="6"/>
    </row>
    <row r="109" customFormat="false" ht="15" hidden="false" customHeight="true" outlineLevel="0" collapsed="false">
      <c r="A109" s="7" t="n">
        <v>106</v>
      </c>
      <c r="B109" s="6" t="s">
        <v>41</v>
      </c>
      <c r="C109" s="6" t="s">
        <v>268</v>
      </c>
      <c r="D109" s="6" t="s">
        <v>955</v>
      </c>
      <c r="E109" s="6" t="s">
        <v>956</v>
      </c>
      <c r="F109" s="6" t="s">
        <v>342</v>
      </c>
      <c r="G109" s="6" t="s">
        <v>776</v>
      </c>
      <c r="H109" s="6" t="s">
        <v>160</v>
      </c>
      <c r="I109" s="6" t="s">
        <v>199</v>
      </c>
      <c r="J109" s="13" t="s">
        <v>322</v>
      </c>
      <c r="K109" s="6"/>
    </row>
    <row r="110" customFormat="false" ht="15" hidden="false" customHeight="true" outlineLevel="0" collapsed="false">
      <c r="A110" s="7" t="n">
        <v>107</v>
      </c>
      <c r="B110" s="6" t="s">
        <v>41</v>
      </c>
      <c r="C110" s="6" t="s">
        <v>139</v>
      </c>
      <c r="D110" s="6" t="s">
        <v>957</v>
      </c>
      <c r="E110" s="6" t="s">
        <v>958</v>
      </c>
      <c r="F110" s="6" t="s">
        <v>342</v>
      </c>
      <c r="G110" s="6" t="s">
        <v>959</v>
      </c>
      <c r="H110" s="6" t="s">
        <v>160</v>
      </c>
      <c r="I110" s="6" t="s">
        <v>199</v>
      </c>
      <c r="J110" s="13" t="s">
        <v>322</v>
      </c>
      <c r="K110" s="6"/>
    </row>
    <row r="111" customFormat="false" ht="15" hidden="false" customHeight="true" outlineLevel="0" collapsed="false">
      <c r="A111" s="7" t="n">
        <v>108</v>
      </c>
      <c r="B111" s="6" t="s">
        <v>41</v>
      </c>
      <c r="C111" s="6" t="s">
        <v>268</v>
      </c>
      <c r="D111" s="6" t="s">
        <v>960</v>
      </c>
      <c r="E111" s="6" t="s">
        <v>956</v>
      </c>
      <c r="F111" s="6" t="s">
        <v>342</v>
      </c>
      <c r="G111" s="6" t="s">
        <v>797</v>
      </c>
      <c r="H111" s="6" t="s">
        <v>160</v>
      </c>
      <c r="I111" s="6" t="s">
        <v>199</v>
      </c>
      <c r="J111" s="13" t="s">
        <v>370</v>
      </c>
      <c r="K111" s="6"/>
    </row>
    <row r="112" customFormat="false" ht="15" hidden="false" customHeight="true" outlineLevel="0" collapsed="false">
      <c r="A112" s="7" t="n">
        <v>109</v>
      </c>
      <c r="B112" s="6" t="s">
        <v>42</v>
      </c>
      <c r="C112" s="6" t="s">
        <v>42</v>
      </c>
      <c r="D112" s="6" t="s">
        <v>278</v>
      </c>
      <c r="E112" s="6" t="s">
        <v>961</v>
      </c>
      <c r="F112" s="6" t="s">
        <v>342</v>
      </c>
      <c r="G112" s="6" t="s">
        <v>205</v>
      </c>
      <c r="H112" s="6" t="s">
        <v>160</v>
      </c>
      <c r="I112" s="8" t="s">
        <v>279</v>
      </c>
      <c r="J112" s="13" t="s">
        <v>395</v>
      </c>
      <c r="K112" s="6"/>
    </row>
    <row r="113" customFormat="false" ht="28.5" hidden="false" customHeight="true" outlineLevel="0" collapsed="false">
      <c r="A113" s="7" t="n">
        <v>110</v>
      </c>
      <c r="B113" s="6" t="s">
        <v>42</v>
      </c>
      <c r="C113" s="6" t="s">
        <v>42</v>
      </c>
      <c r="D113" s="6" t="s">
        <v>280</v>
      </c>
      <c r="E113" s="6" t="s">
        <v>522</v>
      </c>
      <c r="F113" s="6" t="s">
        <v>317</v>
      </c>
      <c r="G113" s="6" t="s">
        <v>281</v>
      </c>
      <c r="H113" s="6" t="s">
        <v>104</v>
      </c>
      <c r="I113" s="6" t="s">
        <v>199</v>
      </c>
      <c r="J113" s="13" t="s">
        <v>395</v>
      </c>
      <c r="K113" s="6"/>
    </row>
    <row r="114" customFormat="false" ht="28.5" hidden="false" customHeight="true" outlineLevel="0" collapsed="false">
      <c r="A114" s="7" t="n">
        <v>111</v>
      </c>
      <c r="B114" s="6" t="s">
        <v>42</v>
      </c>
      <c r="C114" s="6" t="s">
        <v>42</v>
      </c>
      <c r="D114" s="6" t="s">
        <v>282</v>
      </c>
      <c r="E114" s="6" t="s">
        <v>962</v>
      </c>
      <c r="F114" s="6" t="s">
        <v>963</v>
      </c>
      <c r="G114" s="6" t="s">
        <v>283</v>
      </c>
      <c r="H114" s="6" t="s">
        <v>284</v>
      </c>
      <c r="I114" s="6" t="s">
        <v>964</v>
      </c>
      <c r="J114" s="13" t="s">
        <v>395</v>
      </c>
      <c r="K114" s="6" t="s">
        <v>285</v>
      </c>
    </row>
    <row r="115" customFormat="false" ht="15" hidden="false" customHeight="true" outlineLevel="0" collapsed="false">
      <c r="A115" s="7" t="n">
        <v>112</v>
      </c>
      <c r="B115" s="6" t="s">
        <v>42</v>
      </c>
      <c r="C115" s="6" t="s">
        <v>42</v>
      </c>
      <c r="D115" s="6" t="s">
        <v>286</v>
      </c>
      <c r="E115" s="6" t="s">
        <v>965</v>
      </c>
      <c r="F115" s="6" t="s">
        <v>317</v>
      </c>
      <c r="G115" s="6" t="s">
        <v>287</v>
      </c>
      <c r="H115" s="6" t="s">
        <v>160</v>
      </c>
      <c r="I115" s="6" t="s">
        <v>966</v>
      </c>
      <c r="J115" s="13" t="s">
        <v>395</v>
      </c>
      <c r="K115" s="6" t="s">
        <v>288</v>
      </c>
    </row>
    <row r="116" customFormat="false" ht="15" hidden="false" customHeight="true" outlineLevel="0" collapsed="false">
      <c r="A116" s="7" t="n">
        <v>113</v>
      </c>
      <c r="B116" s="6" t="s">
        <v>42</v>
      </c>
      <c r="C116" s="6" t="s">
        <v>42</v>
      </c>
      <c r="D116" s="6" t="s">
        <v>967</v>
      </c>
      <c r="E116" s="6" t="s">
        <v>961</v>
      </c>
      <c r="F116" s="6" t="s">
        <v>342</v>
      </c>
      <c r="G116" s="6" t="s">
        <v>968</v>
      </c>
      <c r="H116" s="6" t="s">
        <v>160</v>
      </c>
      <c r="I116" s="8" t="s">
        <v>969</v>
      </c>
      <c r="J116" s="13" t="s">
        <v>322</v>
      </c>
      <c r="K116" s="6"/>
    </row>
    <row r="117" customFormat="false" ht="15" hidden="false" customHeight="true" outlineLevel="0" collapsed="false">
      <c r="A117" s="7" t="n">
        <v>114</v>
      </c>
      <c r="B117" s="6" t="s">
        <v>42</v>
      </c>
      <c r="C117" s="6" t="s">
        <v>42</v>
      </c>
      <c r="D117" s="6" t="s">
        <v>970</v>
      </c>
      <c r="E117" s="6" t="s">
        <v>526</v>
      </c>
      <c r="F117" s="6" t="s">
        <v>317</v>
      </c>
      <c r="G117" s="6" t="s">
        <v>832</v>
      </c>
      <c r="H117" s="6" t="s">
        <v>160</v>
      </c>
      <c r="I117" s="8" t="s">
        <v>971</v>
      </c>
      <c r="J117" s="13" t="s">
        <v>322</v>
      </c>
      <c r="K117" s="6"/>
    </row>
    <row r="118" customFormat="false" ht="15" hidden="false" customHeight="true" outlineLevel="0" collapsed="false">
      <c r="A118" s="7" t="n">
        <v>115</v>
      </c>
      <c r="B118" s="6" t="s">
        <v>42</v>
      </c>
      <c r="C118" s="6" t="s">
        <v>42</v>
      </c>
      <c r="D118" s="6" t="s">
        <v>972</v>
      </c>
      <c r="E118" s="6" t="s">
        <v>392</v>
      </c>
      <c r="F118" s="6" t="s">
        <v>317</v>
      </c>
      <c r="G118" s="6" t="s">
        <v>973</v>
      </c>
      <c r="H118" s="6" t="s">
        <v>427</v>
      </c>
      <c r="I118" s="6" t="s">
        <v>199</v>
      </c>
      <c r="J118" s="13" t="s">
        <v>322</v>
      </c>
      <c r="K118" s="6"/>
    </row>
    <row r="119" customFormat="false" ht="15" hidden="false" customHeight="true" outlineLevel="0" collapsed="false">
      <c r="A119" s="7" t="n">
        <v>116</v>
      </c>
      <c r="B119" s="6" t="s">
        <v>42</v>
      </c>
      <c r="C119" s="6" t="s">
        <v>42</v>
      </c>
      <c r="D119" s="6" t="s">
        <v>974</v>
      </c>
      <c r="E119" s="6" t="s">
        <v>672</v>
      </c>
      <c r="F119" s="6" t="s">
        <v>317</v>
      </c>
      <c r="G119" s="6" t="s">
        <v>975</v>
      </c>
      <c r="H119" s="6" t="s">
        <v>160</v>
      </c>
      <c r="I119" s="6" t="s">
        <v>199</v>
      </c>
      <c r="J119" s="13" t="s">
        <v>322</v>
      </c>
      <c r="K119" s="6"/>
    </row>
    <row r="120" customFormat="false" ht="15" hidden="false" customHeight="true" outlineLevel="0" collapsed="false">
      <c r="A120" s="7" t="n">
        <v>117</v>
      </c>
      <c r="B120" s="6" t="s">
        <v>42</v>
      </c>
      <c r="C120" s="6" t="s">
        <v>42</v>
      </c>
      <c r="D120" s="6" t="s">
        <v>976</v>
      </c>
      <c r="E120" s="6" t="s">
        <v>522</v>
      </c>
      <c r="F120" s="6" t="s">
        <v>317</v>
      </c>
      <c r="G120" s="6" t="s">
        <v>859</v>
      </c>
      <c r="H120" s="6" t="s">
        <v>104</v>
      </c>
      <c r="I120" s="8" t="s">
        <v>893</v>
      </c>
      <c r="J120" s="13" t="s">
        <v>370</v>
      </c>
      <c r="K120" s="6"/>
    </row>
    <row r="121" customFormat="false" ht="28.5" hidden="false" customHeight="true" outlineLevel="0" collapsed="false">
      <c r="A121" s="7" t="n">
        <v>118</v>
      </c>
      <c r="B121" s="6" t="s">
        <v>43</v>
      </c>
      <c r="C121" s="6" t="s">
        <v>290</v>
      </c>
      <c r="D121" s="6" t="s">
        <v>289</v>
      </c>
      <c r="E121" s="6" t="s">
        <v>442</v>
      </c>
      <c r="F121" s="6" t="s">
        <v>317</v>
      </c>
      <c r="G121" s="6" t="s">
        <v>291</v>
      </c>
      <c r="H121" s="6" t="s">
        <v>160</v>
      </c>
      <c r="I121" s="6" t="s">
        <v>199</v>
      </c>
      <c r="J121" s="13" t="s">
        <v>395</v>
      </c>
      <c r="K121" s="6" t="s">
        <v>292</v>
      </c>
    </row>
    <row r="122" customFormat="false" ht="15" hidden="false" customHeight="true" outlineLevel="0" collapsed="false">
      <c r="A122" s="7" t="n">
        <v>119</v>
      </c>
      <c r="B122" s="6" t="s">
        <v>43</v>
      </c>
      <c r="C122" s="6" t="s">
        <v>977</v>
      </c>
      <c r="D122" s="6" t="s">
        <v>978</v>
      </c>
      <c r="E122" s="6" t="s">
        <v>672</v>
      </c>
      <c r="F122" s="6" t="s">
        <v>317</v>
      </c>
      <c r="G122" s="6" t="s">
        <v>975</v>
      </c>
      <c r="H122" s="6" t="s">
        <v>160</v>
      </c>
      <c r="I122" s="6" t="s">
        <v>199</v>
      </c>
      <c r="J122" s="13" t="s">
        <v>322</v>
      </c>
      <c r="K122" s="6"/>
    </row>
    <row r="123" customFormat="false" ht="15" hidden="false" customHeight="true" outlineLevel="0" collapsed="false">
      <c r="A123" s="7" t="n">
        <v>120</v>
      </c>
      <c r="B123" s="6" t="s">
        <v>43</v>
      </c>
      <c r="C123" s="6" t="s">
        <v>979</v>
      </c>
      <c r="D123" s="6" t="s">
        <v>980</v>
      </c>
      <c r="E123" s="6" t="s">
        <v>661</v>
      </c>
      <c r="F123" s="6" t="s">
        <v>342</v>
      </c>
      <c r="G123" s="6" t="s">
        <v>981</v>
      </c>
      <c r="H123" s="6" t="s">
        <v>160</v>
      </c>
      <c r="I123" s="6" t="s">
        <v>199</v>
      </c>
      <c r="J123" s="13" t="s">
        <v>370</v>
      </c>
      <c r="K123" s="6"/>
    </row>
    <row r="124" customFormat="false" ht="15" hidden="false" customHeight="true" outlineLevel="0" collapsed="false">
      <c r="A124" s="7" t="n">
        <v>121</v>
      </c>
      <c r="B124" s="6" t="s">
        <v>44</v>
      </c>
      <c r="C124" s="6" t="s">
        <v>294</v>
      </c>
      <c r="D124" s="6" t="s">
        <v>293</v>
      </c>
      <c r="E124" s="6" t="s">
        <v>392</v>
      </c>
      <c r="F124" s="6" t="s">
        <v>317</v>
      </c>
      <c r="G124" s="6" t="s">
        <v>177</v>
      </c>
      <c r="H124" s="6" t="s">
        <v>160</v>
      </c>
      <c r="I124" s="6" t="s">
        <v>199</v>
      </c>
      <c r="J124" s="13" t="s">
        <v>395</v>
      </c>
      <c r="K124" s="6"/>
    </row>
    <row r="125" customFormat="false" ht="15" hidden="false" customHeight="true" outlineLevel="0" collapsed="false">
      <c r="A125" s="7" t="n">
        <v>122</v>
      </c>
      <c r="B125" s="6" t="s">
        <v>44</v>
      </c>
      <c r="C125" s="6" t="s">
        <v>294</v>
      </c>
      <c r="D125" s="6" t="s">
        <v>982</v>
      </c>
      <c r="E125" s="6" t="s">
        <v>442</v>
      </c>
      <c r="F125" s="6" t="s">
        <v>317</v>
      </c>
      <c r="G125" s="6" t="s">
        <v>832</v>
      </c>
      <c r="H125" s="6" t="s">
        <v>160</v>
      </c>
      <c r="I125" s="6" t="s">
        <v>199</v>
      </c>
      <c r="J125" s="13" t="s">
        <v>322</v>
      </c>
      <c r="K125" s="6"/>
    </row>
    <row r="126" customFormat="false" ht="15" hidden="false" customHeight="true" outlineLevel="0" collapsed="false">
      <c r="A126" s="7" t="n">
        <v>123</v>
      </c>
      <c r="B126" s="6" t="s">
        <v>44</v>
      </c>
      <c r="C126" s="6" t="s">
        <v>294</v>
      </c>
      <c r="D126" s="6" t="s">
        <v>983</v>
      </c>
      <c r="E126" s="6" t="s">
        <v>984</v>
      </c>
      <c r="F126" s="6" t="s">
        <v>342</v>
      </c>
      <c r="G126" s="6" t="s">
        <v>985</v>
      </c>
      <c r="H126" s="6" t="s">
        <v>160</v>
      </c>
      <c r="I126" s="6" t="s">
        <v>199</v>
      </c>
      <c r="J126" s="13" t="s">
        <v>370</v>
      </c>
      <c r="K126" s="6"/>
    </row>
    <row r="127" customFormat="false" ht="15" hidden="false" customHeight="true" outlineLevel="0" collapsed="false">
      <c r="A127" s="7" t="n">
        <v>124</v>
      </c>
      <c r="B127" s="6" t="s">
        <v>44</v>
      </c>
      <c r="C127" s="6" t="s">
        <v>670</v>
      </c>
      <c r="D127" s="6" t="s">
        <v>986</v>
      </c>
      <c r="E127" s="6" t="s">
        <v>987</v>
      </c>
      <c r="F127" s="6" t="s">
        <v>342</v>
      </c>
      <c r="G127" s="6" t="s">
        <v>988</v>
      </c>
      <c r="H127" s="6" t="s">
        <v>160</v>
      </c>
      <c r="I127" s="6" t="s">
        <v>199</v>
      </c>
      <c r="J127" s="13" t="s">
        <v>370</v>
      </c>
      <c r="K127" s="6"/>
    </row>
    <row r="128" customFormat="false" ht="15" hidden="false" customHeight="true" outlineLevel="0" collapsed="false">
      <c r="A128" s="7" t="n">
        <v>125</v>
      </c>
      <c r="B128" s="6" t="s">
        <v>45</v>
      </c>
      <c r="C128" s="6" t="s">
        <v>296</v>
      </c>
      <c r="D128" s="6" t="s">
        <v>295</v>
      </c>
      <c r="E128" s="6" t="s">
        <v>989</v>
      </c>
      <c r="F128" s="6" t="s">
        <v>342</v>
      </c>
      <c r="G128" s="6" t="s">
        <v>174</v>
      </c>
      <c r="H128" s="6" t="s">
        <v>160</v>
      </c>
      <c r="I128" s="6" t="s">
        <v>199</v>
      </c>
      <c r="J128" s="13" t="s">
        <v>395</v>
      </c>
      <c r="K128" s="6"/>
    </row>
    <row r="129" customFormat="false" ht="15" hidden="false" customHeight="true" outlineLevel="0" collapsed="false">
      <c r="A129" s="7" t="n">
        <v>126</v>
      </c>
      <c r="B129" s="6" t="s">
        <v>45</v>
      </c>
      <c r="C129" s="6" t="s">
        <v>296</v>
      </c>
      <c r="D129" s="6" t="s">
        <v>990</v>
      </c>
      <c r="E129" s="6" t="s">
        <v>991</v>
      </c>
      <c r="F129" s="6" t="s">
        <v>342</v>
      </c>
      <c r="G129" s="6" t="s">
        <v>992</v>
      </c>
      <c r="H129" s="6" t="s">
        <v>160</v>
      </c>
      <c r="I129" s="6" t="s">
        <v>199</v>
      </c>
      <c r="J129" s="13" t="s">
        <v>322</v>
      </c>
      <c r="K129" s="6"/>
    </row>
    <row r="130" customFormat="false" ht="15" hidden="false" customHeight="true" outlineLevel="0" collapsed="false">
      <c r="A130" s="7" t="n">
        <v>127</v>
      </c>
      <c r="B130" s="6" t="s">
        <v>45</v>
      </c>
      <c r="C130" s="6" t="s">
        <v>296</v>
      </c>
      <c r="D130" s="6" t="s">
        <v>993</v>
      </c>
      <c r="E130" s="6" t="s">
        <v>989</v>
      </c>
      <c r="F130" s="6" t="s">
        <v>342</v>
      </c>
      <c r="G130" s="6" t="s">
        <v>952</v>
      </c>
      <c r="H130" s="6" t="s">
        <v>160</v>
      </c>
      <c r="I130" s="6" t="s">
        <v>199</v>
      </c>
      <c r="J130" s="13" t="s">
        <v>322</v>
      </c>
      <c r="K130" s="6"/>
    </row>
    <row r="131" customFormat="false" ht="15" hidden="false" customHeight="true" outlineLevel="0" collapsed="false">
      <c r="A131" s="7" t="n">
        <v>128</v>
      </c>
      <c r="B131" s="6" t="s">
        <v>45</v>
      </c>
      <c r="C131" s="6" t="s">
        <v>296</v>
      </c>
      <c r="D131" s="6" t="s">
        <v>994</v>
      </c>
      <c r="E131" s="6" t="s">
        <v>989</v>
      </c>
      <c r="F131" s="6" t="s">
        <v>342</v>
      </c>
      <c r="G131" s="6" t="s">
        <v>995</v>
      </c>
      <c r="H131" s="6" t="s">
        <v>160</v>
      </c>
      <c r="I131" s="6" t="s">
        <v>199</v>
      </c>
      <c r="J131" s="13" t="s">
        <v>322</v>
      </c>
      <c r="K131" s="6"/>
    </row>
    <row r="132" customFormat="false" ht="15" hidden="false" customHeight="true" outlineLevel="0" collapsed="false">
      <c r="A132" s="7" t="n">
        <v>129</v>
      </c>
      <c r="B132" s="6" t="s">
        <v>45</v>
      </c>
      <c r="C132" s="6" t="s">
        <v>296</v>
      </c>
      <c r="D132" s="6" t="s">
        <v>996</v>
      </c>
      <c r="E132" s="6" t="s">
        <v>991</v>
      </c>
      <c r="F132" s="6" t="s">
        <v>342</v>
      </c>
      <c r="G132" s="6" t="s">
        <v>997</v>
      </c>
      <c r="H132" s="6" t="s">
        <v>160</v>
      </c>
      <c r="I132" s="6" t="s">
        <v>199</v>
      </c>
      <c r="J132" s="13" t="s">
        <v>322</v>
      </c>
      <c r="K132" s="6"/>
    </row>
    <row r="133" customFormat="false" ht="15" hidden="false" customHeight="true" outlineLevel="0" collapsed="false">
      <c r="A133" s="7" t="n">
        <v>130</v>
      </c>
      <c r="B133" s="6" t="s">
        <v>45</v>
      </c>
      <c r="C133" s="6" t="s">
        <v>296</v>
      </c>
      <c r="D133" s="6" t="s">
        <v>998</v>
      </c>
      <c r="E133" s="6" t="s">
        <v>357</v>
      </c>
      <c r="F133" s="6" t="s">
        <v>358</v>
      </c>
      <c r="G133" s="6" t="s">
        <v>999</v>
      </c>
      <c r="H133" s="6" t="s">
        <v>160</v>
      </c>
      <c r="I133" s="6" t="s">
        <v>199</v>
      </c>
      <c r="J133" s="13" t="s">
        <v>322</v>
      </c>
      <c r="K133" s="6" t="s">
        <v>853</v>
      </c>
    </row>
    <row r="134" customFormat="false" ht="15" hidden="false" customHeight="true" outlineLevel="0" collapsed="false">
      <c r="A134" s="7" t="n">
        <v>131</v>
      </c>
      <c r="B134" s="6" t="s">
        <v>45</v>
      </c>
      <c r="C134" s="6" t="s">
        <v>296</v>
      </c>
      <c r="D134" s="6" t="s">
        <v>1000</v>
      </c>
      <c r="E134" s="6" t="s">
        <v>991</v>
      </c>
      <c r="F134" s="6" t="s">
        <v>342</v>
      </c>
      <c r="G134" s="6" t="s">
        <v>1001</v>
      </c>
      <c r="H134" s="6" t="s">
        <v>160</v>
      </c>
      <c r="I134" s="8" t="s">
        <v>1002</v>
      </c>
      <c r="J134" s="13" t="s">
        <v>370</v>
      </c>
      <c r="K134" s="6"/>
    </row>
    <row r="135" customFormat="false" ht="15" hidden="false" customHeight="true" outlineLevel="0" collapsed="false">
      <c r="A135" s="7" t="n">
        <v>132</v>
      </c>
      <c r="B135" s="6" t="s">
        <v>46</v>
      </c>
      <c r="C135" s="6" t="s">
        <v>1003</v>
      </c>
      <c r="D135" s="6" t="s">
        <v>1004</v>
      </c>
      <c r="E135" s="8" t="s">
        <v>916</v>
      </c>
      <c r="F135" s="6" t="s">
        <v>817</v>
      </c>
      <c r="G135" s="6" t="s">
        <v>177</v>
      </c>
      <c r="H135" s="6" t="s">
        <v>160</v>
      </c>
      <c r="I135" s="6" t="s">
        <v>199</v>
      </c>
      <c r="J135" s="13" t="s">
        <v>322</v>
      </c>
      <c r="K135" s="6"/>
    </row>
    <row r="136" customFormat="false" ht="15" hidden="false" customHeight="true" outlineLevel="0" collapsed="false">
      <c r="A136" s="7" t="n">
        <v>133</v>
      </c>
      <c r="B136" s="6" t="s">
        <v>46</v>
      </c>
      <c r="C136" s="6" t="s">
        <v>1003</v>
      </c>
      <c r="D136" s="6" t="s">
        <v>1005</v>
      </c>
      <c r="E136" s="6" t="s">
        <v>1006</v>
      </c>
      <c r="F136" s="6" t="s">
        <v>342</v>
      </c>
      <c r="G136" s="6" t="s">
        <v>1007</v>
      </c>
      <c r="H136" s="6" t="s">
        <v>160</v>
      </c>
      <c r="I136" s="6" t="s">
        <v>199</v>
      </c>
      <c r="J136" s="13" t="s">
        <v>370</v>
      </c>
      <c r="K136" s="6"/>
    </row>
    <row r="137" customFormat="false" ht="15" hidden="false" customHeight="true" outlineLevel="0" collapsed="false">
      <c r="A137" s="7" t="n">
        <v>134</v>
      </c>
      <c r="B137" s="6" t="s">
        <v>46</v>
      </c>
      <c r="C137" s="6" t="s">
        <v>1003</v>
      </c>
      <c r="D137" s="6" t="s">
        <v>1008</v>
      </c>
      <c r="E137" s="6" t="s">
        <v>1006</v>
      </c>
      <c r="F137" s="6" t="s">
        <v>342</v>
      </c>
      <c r="G137" s="6" t="s">
        <v>1009</v>
      </c>
      <c r="H137" s="6" t="s">
        <v>1010</v>
      </c>
      <c r="I137" s="8" t="s">
        <v>1011</v>
      </c>
      <c r="J137" s="13" t="s">
        <v>370</v>
      </c>
      <c r="K137" s="6"/>
    </row>
    <row r="138" customFormat="false" ht="28.5" hidden="false" customHeight="true" outlineLevel="0" collapsed="false">
      <c r="A138" s="7" t="n">
        <v>135</v>
      </c>
      <c r="B138" s="6" t="s">
        <v>47</v>
      </c>
      <c r="C138" s="6" t="s">
        <v>298</v>
      </c>
      <c r="D138" s="6" t="s">
        <v>297</v>
      </c>
      <c r="E138" s="6" t="s">
        <v>476</v>
      </c>
      <c r="F138" s="6" t="s">
        <v>317</v>
      </c>
      <c r="G138" s="6" t="s">
        <v>299</v>
      </c>
      <c r="H138" s="8" t="s">
        <v>300</v>
      </c>
      <c r="I138" s="8" t="s">
        <v>1012</v>
      </c>
      <c r="J138" s="13" t="s">
        <v>395</v>
      </c>
      <c r="K138" s="6" t="s">
        <v>301</v>
      </c>
    </row>
  </sheetData>
  <autoFilter ref="A3:K138"/>
  <mergeCells count="2">
    <mergeCell ref="A1:K1"/>
    <mergeCell ref="A2:K2"/>
  </mergeCells>
  <conditionalFormatting sqref="J4:J138">
    <cfRule type="expression" priority="2" aboveAverage="0" equalAverage="0" bottom="0" percent="0" rank="0" text="" dxfId="16">
      <formula>J4="★★★"</formula>
    </cfRule>
    <cfRule type="expression" priority="3" aboveAverage="0" equalAverage="0" bottom="0" percent="0" rank="0" text="" dxfId="17">
      <formula>J4="★★"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1013</v>
      </c>
      <c r="B1" s="1"/>
      <c r="C1" s="1"/>
    </row>
    <row r="2" customFormat="false" ht="30" hidden="false" customHeight="true" outlineLevel="0" collapsed="false">
      <c r="A2" s="18" t="s">
        <v>1014</v>
      </c>
      <c r="B2" s="18"/>
      <c r="C2" s="18"/>
    </row>
    <row r="3" customFormat="false" ht="30" hidden="false" customHeight="true" outlineLevel="0" collapsed="false">
      <c r="A3" s="5" t="s">
        <v>1015</v>
      </c>
      <c r="B3" s="5" t="s">
        <v>1016</v>
      </c>
      <c r="C3" s="5" t="s">
        <v>15</v>
      </c>
    </row>
    <row r="4" customFormat="false" ht="42" hidden="false" customHeight="true" outlineLevel="0" collapsed="false">
      <c r="A4" s="6" t="s">
        <v>1017</v>
      </c>
      <c r="B4" s="6" t="s">
        <v>1018</v>
      </c>
      <c r="C4" s="6" t="s">
        <v>1019</v>
      </c>
    </row>
    <row r="5" customFormat="false" ht="28.5" hidden="false" customHeight="true" outlineLevel="0" collapsed="false">
      <c r="A5" s="6" t="s">
        <v>1020</v>
      </c>
      <c r="B5" s="6" t="s">
        <v>1021</v>
      </c>
      <c r="C5" s="6" t="s">
        <v>1022</v>
      </c>
    </row>
    <row r="6" customFormat="false" ht="15" hidden="false" customHeight="true" outlineLevel="0" collapsed="false">
      <c r="A6" s="6" t="s">
        <v>442</v>
      </c>
      <c r="B6" s="6" t="s">
        <v>1023</v>
      </c>
      <c r="C6" s="6" t="s">
        <v>1024</v>
      </c>
    </row>
    <row r="7" customFormat="false" ht="15" hidden="false" customHeight="true" outlineLevel="0" collapsed="false">
      <c r="A7" s="6" t="s">
        <v>526</v>
      </c>
      <c r="B7" s="6" t="s">
        <v>1025</v>
      </c>
      <c r="C7" s="6" t="s">
        <v>1026</v>
      </c>
    </row>
    <row r="8" customFormat="false" ht="15" hidden="false" customHeight="true" outlineLevel="0" collapsed="false">
      <c r="A8" s="6" t="s">
        <v>769</v>
      </c>
      <c r="B8" s="8" t="s">
        <v>1027</v>
      </c>
      <c r="C8" s="6" t="s">
        <v>1028</v>
      </c>
    </row>
    <row r="9" customFormat="false" ht="15" hidden="false" customHeight="true" outlineLevel="0" collapsed="false">
      <c r="A9" s="6" t="s">
        <v>462</v>
      </c>
      <c r="B9" s="8" t="s">
        <v>1029</v>
      </c>
      <c r="C9" s="6" t="s">
        <v>1030</v>
      </c>
    </row>
    <row r="10" customFormat="false" ht="15" hidden="false" customHeight="true" outlineLevel="0" collapsed="false">
      <c r="A10" s="6" t="s">
        <v>1031</v>
      </c>
      <c r="B10" s="8" t="s">
        <v>1032</v>
      </c>
      <c r="C10" s="6" t="s">
        <v>1033</v>
      </c>
    </row>
    <row r="11" customFormat="false" ht="28.5" hidden="false" customHeight="true" outlineLevel="0" collapsed="false">
      <c r="A11" s="6" t="s">
        <v>1034</v>
      </c>
      <c r="B11" s="8" t="s">
        <v>1035</v>
      </c>
      <c r="C11" s="6" t="s">
        <v>1036</v>
      </c>
    </row>
    <row r="12" customFormat="false" ht="28.5" hidden="false" customHeight="true" outlineLevel="0" collapsed="false">
      <c r="A12" s="6" t="s">
        <v>1037</v>
      </c>
      <c r="B12" s="8" t="s">
        <v>1038</v>
      </c>
      <c r="C12" s="6" t="s">
        <v>1039</v>
      </c>
    </row>
    <row r="13" customFormat="false" ht="15" hidden="false" customHeight="true" outlineLevel="0" collapsed="false">
      <c r="A13" s="6" t="s">
        <v>1040</v>
      </c>
      <c r="B13" s="8" t="s">
        <v>1041</v>
      </c>
      <c r="C13" s="6" t="s">
        <v>1042</v>
      </c>
    </row>
    <row r="14" customFormat="false" ht="15" hidden="false" customHeight="true" outlineLevel="0" collapsed="false">
      <c r="A14" s="6" t="s">
        <v>790</v>
      </c>
      <c r="B14" s="8" t="s">
        <v>1043</v>
      </c>
      <c r="C14" s="6" t="s">
        <v>1044</v>
      </c>
    </row>
    <row r="15" customFormat="false" ht="42" hidden="false" customHeight="true" outlineLevel="0" collapsed="false">
      <c r="A15" s="6" t="s">
        <v>1045</v>
      </c>
      <c r="B15" s="8" t="s">
        <v>1046</v>
      </c>
      <c r="C15" s="6" t="s">
        <v>1047</v>
      </c>
    </row>
    <row r="16" customFormat="false" ht="15" hidden="false" customHeight="true" outlineLevel="0" collapsed="false">
      <c r="A16" s="6" t="s">
        <v>1048</v>
      </c>
      <c r="B16" s="8" t="s">
        <v>1049</v>
      </c>
      <c r="C16" s="6" t="s">
        <v>1047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2026-10-20T15:41:32Z</dcterms:created>
  <dc:creator>openpyxl</dc:creator>
  <dc:description/>
  <dc:language>en-US</dc:language>
  <cp:lastModifiedBy/>
  <dcterms:modified xsi:type="dcterms:W3CDTF">2026-10-20T15:41:32Z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